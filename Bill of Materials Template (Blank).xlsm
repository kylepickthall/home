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11.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Kyle\Desktop\Projects n Stuff\Bill of Materials\"/>
    </mc:Choice>
  </mc:AlternateContent>
  <bookViews>
    <workbookView xWindow="-28905" yWindow="-105" windowWidth="29025" windowHeight="15825" tabRatio="742"/>
  </bookViews>
  <sheets>
    <sheet name="Material Order Form" sheetId="7" r:id="rId1"/>
    <sheet name="Previous Rev" sheetId="35" state="hidden" r:id="rId2"/>
    <sheet name="Revision History" sheetId="25" r:id="rId3"/>
    <sheet name="Info" sheetId="36" r:id="rId4"/>
    <sheet name="Transfer Values" sheetId="18" r:id="rId5"/>
    <sheet name="Obsolete Items" sheetId="19" r:id="rId6"/>
    <sheet name="Minor Materials" sheetId="22" r:id="rId7"/>
    <sheet name="Minor Major Relationships" sheetId="17" r:id="rId8"/>
    <sheet name="New Import Data" sheetId="38" r:id="rId9"/>
    <sheet name="Options" sheetId="16" r:id="rId10"/>
  </sheets>
  <definedNames>
    <definedName name="_xlnm._FilterDatabase" localSheetId="0" hidden="1">'Material Order Form'!$A$8:$K$9</definedName>
    <definedName name="_xlnm._FilterDatabase" localSheetId="6" hidden="1">'Minor Materials'!$A$1:$E$500</definedName>
    <definedName name="Build_Type">'Material Order Form'!$J$4</definedName>
    <definedName name="Revision">'Material Order Form'!$J$5</definedName>
    <definedName name="Revision_Date">'Material Order Form'!$J$6</definedName>
    <definedName name="RevisionHeader">Options!$E$1:$L$3</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 i="22" l="1"/>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64" i="22"/>
  <c r="B65" i="22"/>
  <c r="B66" i="22"/>
  <c r="B67" i="22"/>
  <c r="B68" i="22"/>
  <c r="B69" i="22"/>
  <c r="B70" i="22"/>
  <c r="B71" i="22"/>
  <c r="B72" i="22"/>
  <c r="B73" i="22"/>
  <c r="B74" i="22"/>
  <c r="B75" i="22"/>
  <c r="B76" i="22"/>
  <c r="B77" i="22"/>
  <c r="B78" i="22"/>
  <c r="B79" i="22"/>
  <c r="B80" i="22"/>
  <c r="B81" i="22"/>
  <c r="B82" i="22"/>
  <c r="B83" i="22"/>
  <c r="B84" i="22"/>
  <c r="B85" i="22"/>
  <c r="B86" i="22"/>
  <c r="B87" i="22"/>
  <c r="B88" i="22"/>
  <c r="B89" i="22"/>
  <c r="B90" i="22"/>
  <c r="B91" i="22"/>
  <c r="B92" i="22"/>
  <c r="B93" i="22"/>
  <c r="B94" i="22"/>
  <c r="B95" i="22"/>
  <c r="B96" i="22"/>
  <c r="B97" i="22"/>
  <c r="B98" i="22"/>
  <c r="B99" i="22"/>
  <c r="B100" i="22"/>
  <c r="B101" i="22"/>
  <c r="B102" i="22"/>
  <c r="B103" i="22"/>
  <c r="B104" i="22"/>
  <c r="B105" i="22"/>
  <c r="B106" i="22"/>
  <c r="B107" i="22"/>
  <c r="B108" i="22"/>
  <c r="B109" i="22"/>
  <c r="B110" i="22"/>
  <c r="B111" i="22"/>
  <c r="B112" i="22"/>
  <c r="B113" i="22"/>
  <c r="B114" i="22"/>
  <c r="B115" i="22"/>
  <c r="B116" i="22"/>
  <c r="B117" i="22"/>
  <c r="B118" i="22"/>
  <c r="B119" i="22"/>
  <c r="B120" i="22"/>
  <c r="B121" i="22"/>
  <c r="B122" i="22"/>
  <c r="B123" i="22"/>
  <c r="B124" i="22"/>
  <c r="B125" i="22"/>
  <c r="B126" i="22"/>
  <c r="B127" i="22"/>
  <c r="B128" i="22"/>
  <c r="B129" i="22"/>
  <c r="B130" i="22"/>
  <c r="B131" i="22"/>
  <c r="B132" i="22"/>
  <c r="B133" i="22"/>
  <c r="B134" i="22"/>
  <c r="B135" i="22"/>
  <c r="B136" i="22"/>
  <c r="B137" i="22"/>
  <c r="B138" i="22"/>
  <c r="B139" i="22"/>
  <c r="B140" i="22"/>
  <c r="B141" i="22"/>
  <c r="B142" i="22"/>
  <c r="B143" i="22"/>
  <c r="B144" i="22"/>
  <c r="B145" i="22"/>
  <c r="B146" i="22"/>
  <c r="B147" i="22"/>
  <c r="B148" i="22"/>
  <c r="B149" i="22"/>
  <c r="B150" i="22"/>
  <c r="B151" i="22"/>
  <c r="B152" i="22"/>
  <c r="B153" i="22"/>
  <c r="B154" i="22"/>
  <c r="B155" i="22"/>
  <c r="B156" i="22"/>
  <c r="B157" i="22"/>
  <c r="B158" i="22"/>
  <c r="B159" i="22"/>
  <c r="B160" i="22"/>
  <c r="B161" i="22"/>
  <c r="B162" i="22"/>
  <c r="B163" i="22"/>
  <c r="B164" i="22"/>
  <c r="B165" i="22"/>
  <c r="B166" i="22"/>
  <c r="B167" i="22"/>
  <c r="B168" i="22"/>
  <c r="B169" i="22"/>
  <c r="B170" i="22"/>
  <c r="B171" i="22"/>
  <c r="B172" i="22"/>
  <c r="B173" i="22"/>
  <c r="B174" i="22"/>
  <c r="B175" i="22"/>
  <c r="B176" i="22"/>
  <c r="B177" i="22"/>
  <c r="B178" i="22"/>
  <c r="B179" i="22"/>
  <c r="B180" i="22"/>
  <c r="B181" i="22"/>
  <c r="B182" i="22"/>
  <c r="B183" i="22"/>
  <c r="B184" i="22"/>
  <c r="B185" i="22"/>
  <c r="B186" i="22"/>
  <c r="B187" i="22"/>
  <c r="B188" i="22"/>
  <c r="B189" i="22"/>
  <c r="B190" i="22"/>
  <c r="B191" i="22"/>
  <c r="B192" i="22"/>
  <c r="B193" i="22"/>
  <c r="B194" i="22"/>
  <c r="B195" i="22"/>
  <c r="B196" i="22"/>
  <c r="B197" i="22"/>
  <c r="B198" i="22"/>
  <c r="B199" i="22"/>
  <c r="B200" i="22"/>
  <c r="B201" i="22"/>
  <c r="B202" i="22"/>
  <c r="B203" i="22"/>
  <c r="B204" i="22"/>
  <c r="B205" i="22"/>
  <c r="B206" i="22"/>
  <c r="B207" i="22"/>
  <c r="B208" i="22"/>
  <c r="B209" i="22"/>
  <c r="B210" i="22"/>
  <c r="B211" i="22"/>
  <c r="B212" i="22"/>
  <c r="B213" i="22"/>
  <c r="B214" i="22"/>
  <c r="B215" i="22"/>
  <c r="B216" i="22"/>
  <c r="B217" i="22"/>
  <c r="B218" i="22"/>
  <c r="B219" i="22"/>
  <c r="B220" i="22"/>
  <c r="B221" i="22"/>
  <c r="B222" i="22"/>
  <c r="B223" i="22"/>
  <c r="B224" i="22"/>
  <c r="B225" i="22"/>
  <c r="B226" i="22"/>
  <c r="B227" i="22"/>
  <c r="B228" i="22"/>
  <c r="B229" i="22"/>
  <c r="B230" i="22"/>
  <c r="B231" i="22"/>
  <c r="B232" i="22"/>
  <c r="B233" i="22"/>
  <c r="B234" i="22"/>
  <c r="B235" i="22"/>
  <c r="B236" i="22"/>
  <c r="B237" i="22"/>
  <c r="B238" i="22"/>
  <c r="B239" i="22"/>
  <c r="B240" i="22"/>
  <c r="B241" i="22"/>
  <c r="B242" i="22"/>
  <c r="B243" i="22"/>
  <c r="B244" i="22"/>
  <c r="B245" i="22"/>
  <c r="B246" i="22"/>
  <c r="B247" i="22"/>
  <c r="B248" i="22"/>
  <c r="B249" i="22"/>
  <c r="B250" i="22"/>
  <c r="B251" i="22"/>
  <c r="B252" i="22"/>
  <c r="B253" i="22"/>
  <c r="B254" i="22"/>
  <c r="B255" i="22"/>
  <c r="B256" i="22"/>
  <c r="B257" i="22"/>
  <c r="B258" i="22"/>
  <c r="B259" i="22"/>
  <c r="B260" i="22"/>
  <c r="B261" i="22"/>
  <c r="B262" i="22"/>
  <c r="B263" i="22"/>
  <c r="B264" i="22"/>
  <c r="B265" i="22"/>
  <c r="B266" i="22"/>
  <c r="B267" i="22"/>
  <c r="B268" i="22"/>
  <c r="B269" i="22"/>
  <c r="B270" i="22"/>
  <c r="B271" i="22"/>
  <c r="B272" i="22"/>
  <c r="B273" i="22"/>
  <c r="B274" i="22"/>
  <c r="B275" i="22"/>
  <c r="B276" i="22"/>
  <c r="B277" i="22"/>
  <c r="B278" i="22"/>
  <c r="B279" i="22"/>
  <c r="B280" i="22"/>
  <c r="B281" i="22"/>
  <c r="B282" i="22"/>
  <c r="B283" i="22"/>
  <c r="B284" i="22"/>
  <c r="B285" i="22"/>
  <c r="B286" i="22"/>
  <c r="B287" i="22"/>
  <c r="B288" i="22"/>
  <c r="B289" i="22"/>
  <c r="B290" i="22"/>
  <c r="B291" i="22"/>
  <c r="B292" i="22"/>
  <c r="B293" i="22"/>
  <c r="B294" i="22"/>
  <c r="B295" i="22"/>
  <c r="B296" i="22"/>
  <c r="B297" i="22"/>
  <c r="B298" i="22"/>
  <c r="B299" i="22"/>
  <c r="B300" i="22"/>
  <c r="B301" i="22"/>
  <c r="B302" i="22"/>
  <c r="B303" i="22"/>
  <c r="B304" i="22"/>
  <c r="B305" i="22"/>
  <c r="B306" i="22"/>
  <c r="B307" i="22"/>
  <c r="B308" i="22"/>
  <c r="B309" i="22"/>
  <c r="B310" i="22"/>
  <c r="B311" i="22"/>
  <c r="B312" i="22"/>
  <c r="B313" i="22"/>
  <c r="B314" i="22"/>
  <c r="B315" i="22"/>
  <c r="B316" i="22"/>
  <c r="B317" i="22"/>
  <c r="B318" i="22"/>
  <c r="B319" i="22"/>
  <c r="B320" i="22"/>
  <c r="B321" i="22"/>
  <c r="B322" i="22"/>
  <c r="B323" i="22"/>
  <c r="B324" i="22"/>
  <c r="B325" i="22"/>
  <c r="B326" i="22"/>
  <c r="B327" i="22"/>
  <c r="B328" i="22"/>
  <c r="B329" i="22"/>
  <c r="B330" i="22"/>
  <c r="B331" i="22"/>
  <c r="B332" i="22"/>
  <c r="B333" i="22"/>
  <c r="B334" i="22"/>
  <c r="B335" i="22"/>
  <c r="B336" i="22"/>
  <c r="B337" i="22"/>
  <c r="B338" i="22"/>
  <c r="B339" i="22"/>
  <c r="B340" i="22"/>
  <c r="B341" i="22"/>
  <c r="B342" i="22"/>
  <c r="B343" i="22"/>
  <c r="B344" i="22"/>
  <c r="B345" i="22"/>
  <c r="B346" i="22"/>
  <c r="B347" i="22"/>
  <c r="B348" i="22"/>
  <c r="B349" i="22"/>
  <c r="B350" i="22"/>
  <c r="B351" i="22"/>
  <c r="B352" i="22"/>
  <c r="B353" i="22"/>
  <c r="B354" i="22"/>
  <c r="B355" i="22"/>
  <c r="B356" i="22"/>
  <c r="B357" i="22"/>
  <c r="B358" i="22"/>
  <c r="B359" i="22"/>
  <c r="B360" i="22"/>
  <c r="B361" i="22"/>
  <c r="B362" i="22"/>
  <c r="B363" i="22"/>
  <c r="B364" i="22"/>
  <c r="B365" i="22"/>
  <c r="B366" i="22"/>
  <c r="B367" i="22"/>
  <c r="B368" i="22"/>
  <c r="B369" i="22"/>
  <c r="B370" i="22"/>
  <c r="B371" i="22"/>
  <c r="B372" i="22"/>
  <c r="B373" i="22"/>
  <c r="B374" i="22"/>
  <c r="B375" i="22"/>
  <c r="B376" i="22"/>
  <c r="B377" i="22"/>
  <c r="B378" i="22"/>
  <c r="B379" i="22"/>
  <c r="B380" i="22"/>
  <c r="B381" i="22"/>
  <c r="B382" i="22"/>
  <c r="B383" i="22"/>
  <c r="B384" i="22"/>
  <c r="B385" i="22"/>
  <c r="B386" i="22"/>
  <c r="B387" i="22"/>
  <c r="B388" i="22"/>
  <c r="B389" i="22"/>
  <c r="B390" i="22"/>
  <c r="B391" i="22"/>
  <c r="B392" i="22"/>
  <c r="B393" i="22"/>
  <c r="B394" i="22"/>
  <c r="B395" i="22"/>
  <c r="B396" i="22"/>
  <c r="B397" i="22"/>
  <c r="B398" i="22"/>
  <c r="B399" i="22"/>
  <c r="B400" i="22"/>
  <c r="B401" i="22"/>
  <c r="B402" i="22"/>
  <c r="B403" i="22"/>
  <c r="B404" i="22"/>
  <c r="B405" i="22"/>
  <c r="B406" i="22"/>
  <c r="B407" i="22"/>
  <c r="B408" i="22"/>
  <c r="B409" i="22"/>
  <c r="B410" i="22"/>
  <c r="B411" i="22"/>
  <c r="B412" i="22"/>
  <c r="B413" i="22"/>
  <c r="B414" i="22"/>
  <c r="B415" i="22"/>
  <c r="B416" i="22"/>
  <c r="B417" i="22"/>
  <c r="B418" i="22"/>
  <c r="B419" i="22"/>
  <c r="B420" i="22"/>
  <c r="B421" i="22"/>
  <c r="B422" i="22"/>
  <c r="B423" i="22"/>
  <c r="B424" i="22"/>
  <c r="B425" i="22"/>
  <c r="B426" i="22"/>
  <c r="B427" i="22"/>
  <c r="B428" i="22"/>
  <c r="B429" i="22"/>
  <c r="B430" i="22"/>
  <c r="B431" i="22"/>
  <c r="B432" i="22"/>
  <c r="B433" i="22"/>
  <c r="B434" i="22"/>
  <c r="B435" i="22"/>
  <c r="B436" i="22"/>
  <c r="B437" i="22"/>
  <c r="B438" i="22"/>
  <c r="B439" i="22"/>
  <c r="B440" i="22"/>
  <c r="B441" i="22"/>
  <c r="B442" i="22"/>
  <c r="B443" i="22"/>
  <c r="B444" i="22"/>
  <c r="B445" i="22"/>
  <c r="B446" i="22"/>
  <c r="B447" i="22"/>
  <c r="B448" i="22"/>
  <c r="B449" i="22"/>
  <c r="B450" i="22"/>
  <c r="B451" i="22"/>
  <c r="B452" i="22"/>
  <c r="B453" i="22"/>
  <c r="B454" i="22"/>
  <c r="B455" i="22"/>
  <c r="B456" i="22"/>
  <c r="B457" i="22"/>
  <c r="B458" i="22"/>
  <c r="B459" i="22"/>
  <c r="B460" i="22"/>
  <c r="B461" i="22"/>
  <c r="B462" i="22"/>
  <c r="B463" i="22"/>
  <c r="B464" i="22"/>
  <c r="B465" i="22"/>
  <c r="B466" i="22"/>
  <c r="B467" i="22"/>
  <c r="B468" i="22"/>
  <c r="B469" i="22"/>
  <c r="B470" i="22"/>
  <c r="B471" i="22"/>
  <c r="B472" i="22"/>
  <c r="B473" i="22"/>
  <c r="B474" i="22"/>
  <c r="B475" i="22"/>
  <c r="B476" i="22"/>
  <c r="B477" i="22"/>
  <c r="B478" i="22"/>
  <c r="B479" i="22"/>
  <c r="B480" i="22"/>
  <c r="B481" i="22"/>
  <c r="B482" i="22"/>
  <c r="B483" i="22"/>
  <c r="B484" i="22"/>
  <c r="B485" i="22"/>
  <c r="B486" i="22"/>
  <c r="B487" i="22"/>
  <c r="B488" i="22"/>
  <c r="B489" i="22"/>
  <c r="B490" i="22"/>
  <c r="B491" i="22"/>
  <c r="B492" i="22"/>
  <c r="B493" i="22"/>
  <c r="B494" i="22"/>
  <c r="B495" i="22"/>
  <c r="B496" i="22"/>
  <c r="B497" i="22"/>
  <c r="B498" i="22"/>
  <c r="B499" i="22"/>
  <c r="B500" i="22"/>
  <c r="G2" i="17"/>
  <c r="E2" i="17"/>
  <c r="C2" i="17"/>
  <c r="D9" i="7" l="1"/>
  <c r="K9" i="7" s="1"/>
  <c r="J2" i="7" s="1"/>
  <c r="A2" i="22" a="1"/>
  <c r="A2" i="22" l="1"/>
  <c r="B2" i="22" s="1"/>
  <c r="E35" i="22"/>
  <c r="E43" i="22"/>
  <c r="E51" i="22"/>
  <c r="E59" i="22"/>
  <c r="E67" i="22"/>
  <c r="E75" i="22"/>
  <c r="E83" i="22"/>
  <c r="E91" i="22"/>
  <c r="E99" i="22"/>
  <c r="E107" i="22"/>
  <c r="E115" i="22"/>
  <c r="E123" i="22"/>
  <c r="E131" i="22"/>
  <c r="E139" i="22"/>
  <c r="E147" i="22"/>
  <c r="E155" i="22"/>
  <c r="E163" i="22"/>
  <c r="E171" i="22"/>
  <c r="E179" i="22"/>
  <c r="E187" i="22"/>
  <c r="E195" i="22"/>
  <c r="E203" i="22"/>
  <c r="E211" i="22"/>
  <c r="E219" i="22"/>
  <c r="E227" i="22"/>
  <c r="E235" i="22"/>
  <c r="E243" i="22"/>
  <c r="E251" i="22"/>
  <c r="E259" i="22"/>
  <c r="E267" i="22"/>
  <c r="E275" i="22"/>
  <c r="E283" i="22"/>
  <c r="E291" i="22"/>
  <c r="E299" i="22"/>
  <c r="E307" i="22"/>
  <c r="E315" i="22"/>
  <c r="E323" i="22"/>
  <c r="E331" i="22"/>
  <c r="E339" i="22"/>
  <c r="E347" i="22"/>
  <c r="E355" i="22"/>
  <c r="E363" i="22"/>
  <c r="E371" i="22"/>
  <c r="E379" i="22"/>
  <c r="E387" i="22"/>
  <c r="E395" i="22"/>
  <c r="E403" i="22"/>
  <c r="E411" i="22"/>
  <c r="E419" i="22"/>
  <c r="E427" i="22"/>
  <c r="E435" i="22"/>
  <c r="E443" i="22"/>
  <c r="E451" i="22"/>
  <c r="E459" i="22"/>
  <c r="E467" i="22"/>
  <c r="E475" i="22"/>
  <c r="E483" i="22"/>
  <c r="E491" i="22"/>
  <c r="E499" i="22"/>
  <c r="E81" i="22"/>
  <c r="E121" i="22"/>
  <c r="E193" i="22"/>
  <c r="E249" i="22"/>
  <c r="E297" i="22"/>
  <c r="E345" i="22"/>
  <c r="E409" i="22"/>
  <c r="E465" i="22"/>
  <c r="E36" i="22"/>
  <c r="E44" i="22"/>
  <c r="E52" i="22"/>
  <c r="E60" i="22"/>
  <c r="E68" i="22"/>
  <c r="E76" i="22"/>
  <c r="E84" i="22"/>
  <c r="E92" i="22"/>
  <c r="E100" i="22"/>
  <c r="E108" i="22"/>
  <c r="E116" i="22"/>
  <c r="E124" i="22"/>
  <c r="E132" i="22"/>
  <c r="E140" i="22"/>
  <c r="E148" i="22"/>
  <c r="E156" i="22"/>
  <c r="E164" i="22"/>
  <c r="E172" i="22"/>
  <c r="E180" i="22"/>
  <c r="E188" i="22"/>
  <c r="E196" i="22"/>
  <c r="E204" i="22"/>
  <c r="E212" i="22"/>
  <c r="E220" i="22"/>
  <c r="E228" i="22"/>
  <c r="E236" i="22"/>
  <c r="E244" i="22"/>
  <c r="E252" i="22"/>
  <c r="E260" i="22"/>
  <c r="E268" i="22"/>
  <c r="E276" i="22"/>
  <c r="E284" i="22"/>
  <c r="E292" i="22"/>
  <c r="E300" i="22"/>
  <c r="E308" i="22"/>
  <c r="E316" i="22"/>
  <c r="E324" i="22"/>
  <c r="E332" i="22"/>
  <c r="E340" i="22"/>
  <c r="E348" i="22"/>
  <c r="E356" i="22"/>
  <c r="E364" i="22"/>
  <c r="E372" i="22"/>
  <c r="E380" i="22"/>
  <c r="E388" i="22"/>
  <c r="E396" i="22"/>
  <c r="E404" i="22"/>
  <c r="E412" i="22"/>
  <c r="E420" i="22"/>
  <c r="E428" i="22"/>
  <c r="E436" i="22"/>
  <c r="E444" i="22"/>
  <c r="E452" i="22"/>
  <c r="E460" i="22"/>
  <c r="E468" i="22"/>
  <c r="E476" i="22"/>
  <c r="E484" i="22"/>
  <c r="E492" i="22"/>
  <c r="E500" i="22"/>
  <c r="E49" i="22"/>
  <c r="E89" i="22"/>
  <c r="E145" i="22"/>
  <c r="E177" i="22"/>
  <c r="E225" i="22"/>
  <c r="E265" i="22"/>
  <c r="E313" i="22"/>
  <c r="E377" i="22"/>
  <c r="E433" i="22"/>
  <c r="E473" i="22"/>
  <c r="E37" i="22"/>
  <c r="E45" i="22"/>
  <c r="E53" i="22"/>
  <c r="E61" i="22"/>
  <c r="E69" i="22"/>
  <c r="E77" i="22"/>
  <c r="E85" i="22"/>
  <c r="E93" i="22"/>
  <c r="E101" i="22"/>
  <c r="E109" i="22"/>
  <c r="E117" i="22"/>
  <c r="E125" i="22"/>
  <c r="E133" i="22"/>
  <c r="E141" i="22"/>
  <c r="E149" i="22"/>
  <c r="E157" i="22"/>
  <c r="E165" i="22"/>
  <c r="E173" i="22"/>
  <c r="E181" i="22"/>
  <c r="E189" i="22"/>
  <c r="E197" i="22"/>
  <c r="E205" i="22"/>
  <c r="E213" i="22"/>
  <c r="E221" i="22"/>
  <c r="E229" i="22"/>
  <c r="E237" i="22"/>
  <c r="E245" i="22"/>
  <c r="E253" i="22"/>
  <c r="E261" i="22"/>
  <c r="E269" i="22"/>
  <c r="E277" i="22"/>
  <c r="E285" i="22"/>
  <c r="E293" i="22"/>
  <c r="E301" i="22"/>
  <c r="E309" i="22"/>
  <c r="E317" i="22"/>
  <c r="E325" i="22"/>
  <c r="E333" i="22"/>
  <c r="E341" i="22"/>
  <c r="E349" i="22"/>
  <c r="E357" i="22"/>
  <c r="E365" i="22"/>
  <c r="E373" i="22"/>
  <c r="E381" i="22"/>
  <c r="E389" i="22"/>
  <c r="E397" i="22"/>
  <c r="E405" i="22"/>
  <c r="E413" i="22"/>
  <c r="E421" i="22"/>
  <c r="E429" i="22"/>
  <c r="E437" i="22"/>
  <c r="E445" i="22"/>
  <c r="E453" i="22"/>
  <c r="E461" i="22"/>
  <c r="E469" i="22"/>
  <c r="E477" i="22"/>
  <c r="E485" i="22"/>
  <c r="E493" i="22"/>
  <c r="E41" i="22"/>
  <c r="E73" i="22"/>
  <c r="E137" i="22"/>
  <c r="E169" i="22"/>
  <c r="E209" i="22"/>
  <c r="E257" i="22"/>
  <c r="E305" i="22"/>
  <c r="E369" i="22"/>
  <c r="E425" i="22"/>
  <c r="E489" i="22"/>
  <c r="E38" i="22"/>
  <c r="E46" i="22"/>
  <c r="E54" i="22"/>
  <c r="E62" i="22"/>
  <c r="E70" i="22"/>
  <c r="E78" i="22"/>
  <c r="E86" i="22"/>
  <c r="E94" i="22"/>
  <c r="E102" i="22"/>
  <c r="E110" i="22"/>
  <c r="E118" i="22"/>
  <c r="E126" i="22"/>
  <c r="E134" i="22"/>
  <c r="E142" i="22"/>
  <c r="E150" i="22"/>
  <c r="E158" i="22"/>
  <c r="E166" i="22"/>
  <c r="E174" i="22"/>
  <c r="E182" i="22"/>
  <c r="E190" i="22"/>
  <c r="E198" i="22"/>
  <c r="E206" i="22"/>
  <c r="E214" i="22"/>
  <c r="E222" i="22"/>
  <c r="E230" i="22"/>
  <c r="E238" i="22"/>
  <c r="E246" i="22"/>
  <c r="E254" i="22"/>
  <c r="E262" i="22"/>
  <c r="E270" i="22"/>
  <c r="E278" i="22"/>
  <c r="E286" i="22"/>
  <c r="E294" i="22"/>
  <c r="E302" i="22"/>
  <c r="E310" i="22"/>
  <c r="E318" i="22"/>
  <c r="E326" i="22"/>
  <c r="E334" i="22"/>
  <c r="E342" i="22"/>
  <c r="E350" i="22"/>
  <c r="E358" i="22"/>
  <c r="E366" i="22"/>
  <c r="E374" i="22"/>
  <c r="E382" i="22"/>
  <c r="E390" i="22"/>
  <c r="E398" i="22"/>
  <c r="E406" i="22"/>
  <c r="E414" i="22"/>
  <c r="E422" i="22"/>
  <c r="E430" i="22"/>
  <c r="E438" i="22"/>
  <c r="E446" i="22"/>
  <c r="E454" i="22"/>
  <c r="E462" i="22"/>
  <c r="E470" i="22"/>
  <c r="E478" i="22"/>
  <c r="E486" i="22"/>
  <c r="E494" i="22"/>
  <c r="E65" i="22"/>
  <c r="E129" i="22"/>
  <c r="E185" i="22"/>
  <c r="E241" i="22"/>
  <c r="E289" i="22"/>
  <c r="E329" i="22"/>
  <c r="E353" i="22"/>
  <c r="E393" i="22"/>
  <c r="E417" i="22"/>
  <c r="E449" i="22"/>
  <c r="E39" i="22"/>
  <c r="E47" i="22"/>
  <c r="E55" i="22"/>
  <c r="E63" i="22"/>
  <c r="E71" i="22"/>
  <c r="E79" i="22"/>
  <c r="E87" i="22"/>
  <c r="E95" i="22"/>
  <c r="E103" i="22"/>
  <c r="E111" i="22"/>
  <c r="E119" i="22"/>
  <c r="E127" i="22"/>
  <c r="E135" i="22"/>
  <c r="E143" i="22"/>
  <c r="E151" i="22"/>
  <c r="E159" i="22"/>
  <c r="E167" i="22"/>
  <c r="E175" i="22"/>
  <c r="E183" i="22"/>
  <c r="E191" i="22"/>
  <c r="E199" i="22"/>
  <c r="E207" i="22"/>
  <c r="E215" i="22"/>
  <c r="E223" i="22"/>
  <c r="E231" i="22"/>
  <c r="E239" i="22"/>
  <c r="E247" i="22"/>
  <c r="E255" i="22"/>
  <c r="E263" i="22"/>
  <c r="E271" i="22"/>
  <c r="E279" i="22"/>
  <c r="E287" i="22"/>
  <c r="E295" i="22"/>
  <c r="E303" i="22"/>
  <c r="E311" i="22"/>
  <c r="E319" i="22"/>
  <c r="E327" i="22"/>
  <c r="E335" i="22"/>
  <c r="E343" i="22"/>
  <c r="E351" i="22"/>
  <c r="E359" i="22"/>
  <c r="E367" i="22"/>
  <c r="E375" i="22"/>
  <c r="E383" i="22"/>
  <c r="E391" i="22"/>
  <c r="E399" i="22"/>
  <c r="E407" i="22"/>
  <c r="E415" i="22"/>
  <c r="E423" i="22"/>
  <c r="E431" i="22"/>
  <c r="E439" i="22"/>
  <c r="E447" i="22"/>
  <c r="E455" i="22"/>
  <c r="E463" i="22"/>
  <c r="E471" i="22"/>
  <c r="E479" i="22"/>
  <c r="E487" i="22"/>
  <c r="E495" i="22"/>
  <c r="E57" i="22"/>
  <c r="E113" i="22"/>
  <c r="E161" i="22"/>
  <c r="E217" i="22"/>
  <c r="E281" i="22"/>
  <c r="E337" i="22"/>
  <c r="E401" i="22"/>
  <c r="E457" i="22"/>
  <c r="E40" i="22"/>
  <c r="E48" i="22"/>
  <c r="E56" i="22"/>
  <c r="E64" i="22"/>
  <c r="E72" i="22"/>
  <c r="E80" i="22"/>
  <c r="E88" i="22"/>
  <c r="E96" i="22"/>
  <c r="E104" i="22"/>
  <c r="E112" i="22"/>
  <c r="E120" i="22"/>
  <c r="E128" i="22"/>
  <c r="E136" i="22"/>
  <c r="E144" i="22"/>
  <c r="E152" i="22"/>
  <c r="E160" i="22"/>
  <c r="E168" i="22"/>
  <c r="E176" i="22"/>
  <c r="E184" i="22"/>
  <c r="E192" i="22"/>
  <c r="E200" i="22"/>
  <c r="E208" i="22"/>
  <c r="E216" i="22"/>
  <c r="E224" i="22"/>
  <c r="E232" i="22"/>
  <c r="E240" i="22"/>
  <c r="E248" i="22"/>
  <c r="E256" i="22"/>
  <c r="E264" i="22"/>
  <c r="E272" i="22"/>
  <c r="E280" i="22"/>
  <c r="E288" i="22"/>
  <c r="E296" i="22"/>
  <c r="E304" i="22"/>
  <c r="E312" i="22"/>
  <c r="E320" i="22"/>
  <c r="E328" i="22"/>
  <c r="E336" i="22"/>
  <c r="E344" i="22"/>
  <c r="E352" i="22"/>
  <c r="E360" i="22"/>
  <c r="E368" i="22"/>
  <c r="E376" i="22"/>
  <c r="E384" i="22"/>
  <c r="E392" i="22"/>
  <c r="E400" i="22"/>
  <c r="E408" i="22"/>
  <c r="E416" i="22"/>
  <c r="E424" i="22"/>
  <c r="E432" i="22"/>
  <c r="E440" i="22"/>
  <c r="E448" i="22"/>
  <c r="E456" i="22"/>
  <c r="E464" i="22"/>
  <c r="E472" i="22"/>
  <c r="E480" i="22"/>
  <c r="E488" i="22"/>
  <c r="E496" i="22"/>
  <c r="E105" i="22"/>
  <c r="E153" i="22"/>
  <c r="E201" i="22"/>
  <c r="E233" i="22"/>
  <c r="E273" i="22"/>
  <c r="E321" i="22"/>
  <c r="E385" i="22"/>
  <c r="E441" i="22"/>
  <c r="E497" i="22"/>
  <c r="E42" i="22"/>
  <c r="E50" i="22"/>
  <c r="E58" i="22"/>
  <c r="E66" i="22"/>
  <c r="E74" i="22"/>
  <c r="E82" i="22"/>
  <c r="E90" i="22"/>
  <c r="E98" i="22"/>
  <c r="E106" i="22"/>
  <c r="E114" i="22"/>
  <c r="E122" i="22"/>
  <c r="E130" i="22"/>
  <c r="E138" i="22"/>
  <c r="E146" i="22"/>
  <c r="E154" i="22"/>
  <c r="E162" i="22"/>
  <c r="E170" i="22"/>
  <c r="E178" i="22"/>
  <c r="E186" i="22"/>
  <c r="E194" i="22"/>
  <c r="E202" i="22"/>
  <c r="E210" i="22"/>
  <c r="E218" i="22"/>
  <c r="E226" i="22"/>
  <c r="E234" i="22"/>
  <c r="E242" i="22"/>
  <c r="E250" i="22"/>
  <c r="E258" i="22"/>
  <c r="E266" i="22"/>
  <c r="E274" i="22"/>
  <c r="E282" i="22"/>
  <c r="E290" i="22"/>
  <c r="E298" i="22"/>
  <c r="E306" i="22"/>
  <c r="E314" i="22"/>
  <c r="E322" i="22"/>
  <c r="E330" i="22"/>
  <c r="E338" i="22"/>
  <c r="E346" i="22"/>
  <c r="E354" i="22"/>
  <c r="E362" i="22"/>
  <c r="E370" i="22"/>
  <c r="E378" i="22"/>
  <c r="E386" i="22"/>
  <c r="E394" i="22"/>
  <c r="E402" i="22"/>
  <c r="E410" i="22"/>
  <c r="E418" i="22"/>
  <c r="E426" i="22"/>
  <c r="E434" i="22"/>
  <c r="E442" i="22"/>
  <c r="E450" i="22"/>
  <c r="E458" i="22"/>
  <c r="E466" i="22"/>
  <c r="E474" i="22"/>
  <c r="E482" i="22"/>
  <c r="E490" i="22"/>
  <c r="E498" i="22"/>
  <c r="E97" i="22"/>
  <c r="E361" i="22"/>
  <c r="E481" i="22"/>
  <c r="D2" i="22" a="1"/>
  <c r="D2" i="22" l="1"/>
  <c r="C2" i="22" a="1"/>
  <c r="C2" i="22" l="1"/>
  <c r="E2" i="22" s="1"/>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C6" i="22"/>
  <c r="C5" i="22"/>
  <c r="C4" i="22"/>
  <c r="C3" i="22"/>
  <c r="A34" i="22"/>
  <c r="B34" i="22" s="1"/>
  <c r="A33" i="22"/>
  <c r="B33" i="22" s="1"/>
  <c r="A32" i="22"/>
  <c r="B32" i="22" s="1"/>
  <c r="A31" i="22"/>
  <c r="B31" i="22" s="1"/>
  <c r="A30" i="22"/>
  <c r="B30" i="22" s="1"/>
  <c r="A29" i="22"/>
  <c r="B29" i="22" s="1"/>
  <c r="A28" i="22"/>
  <c r="B28" i="22" s="1"/>
  <c r="A27" i="22"/>
  <c r="B27" i="22" s="1"/>
  <c r="A26" i="22"/>
  <c r="B26" i="22" s="1"/>
  <c r="A25" i="22"/>
  <c r="B25" i="22" s="1"/>
  <c r="A24" i="22"/>
  <c r="B24" i="22" s="1"/>
  <c r="A23" i="22"/>
  <c r="B23" i="22" s="1"/>
  <c r="A22" i="22"/>
  <c r="B22" i="22" s="1"/>
  <c r="A21" i="22"/>
  <c r="B21" i="22" s="1"/>
  <c r="A20" i="22"/>
  <c r="B20" i="22" s="1"/>
  <c r="A19" i="22"/>
  <c r="B19" i="22" s="1"/>
  <c r="A18" i="22"/>
  <c r="B18" i="22" s="1"/>
  <c r="A17" i="22"/>
  <c r="B17" i="22" s="1"/>
  <c r="A16" i="22"/>
  <c r="B16" i="22" s="1"/>
  <c r="A15" i="22"/>
  <c r="B15" i="22" s="1"/>
  <c r="A14" i="22"/>
  <c r="B14" i="22" s="1"/>
  <c r="A13" i="22"/>
  <c r="B13" i="22" s="1"/>
  <c r="A12" i="22"/>
  <c r="B12" i="22" s="1"/>
  <c r="A11" i="22"/>
  <c r="B11" i="22" s="1"/>
  <c r="A10" i="22"/>
  <c r="B10" i="22" s="1"/>
  <c r="A9" i="22"/>
  <c r="B9" i="22" s="1"/>
  <c r="A8" i="22"/>
  <c r="B8" i="22" s="1"/>
  <c r="A7" i="22"/>
  <c r="B7" i="22" s="1"/>
  <c r="A6" i="22"/>
  <c r="B6" i="22" s="1"/>
  <c r="A5" i="22"/>
  <c r="B5" i="22" s="1"/>
  <c r="A4" i="22"/>
  <c r="B4" i="22" s="1"/>
  <c r="A3" i="22"/>
  <c r="B3" i="22" s="1"/>
  <c r="E5" i="22" l="1"/>
  <c r="E17" i="22"/>
  <c r="E29" i="22"/>
  <c r="E10" i="22"/>
  <c r="E14" i="22"/>
  <c r="E15" i="22"/>
  <c r="E23" i="22"/>
  <c r="E27" i="22"/>
  <c r="E4" i="22"/>
  <c r="E12" i="22"/>
  <c r="E20" i="22"/>
  <c r="E32" i="22"/>
  <c r="E9" i="22"/>
  <c r="E21" i="22"/>
  <c r="E33" i="22"/>
  <c r="E6" i="22"/>
  <c r="E18" i="22"/>
  <c r="E22" i="22"/>
  <c r="E26" i="22"/>
  <c r="E30" i="22"/>
  <c r="E34" i="22"/>
  <c r="E8" i="22"/>
  <c r="E16" i="22"/>
  <c r="E24" i="22"/>
  <c r="E28" i="22"/>
  <c r="E13" i="22"/>
  <c r="E25" i="22"/>
  <c r="E3" i="22"/>
  <c r="E7" i="22"/>
  <c r="E11" i="22"/>
  <c r="E19" i="22"/>
  <c r="E31" i="22"/>
</calcChain>
</file>

<file path=xl/comments1.xml><?xml version="1.0" encoding="utf-8"?>
<comments xmlns="http://schemas.openxmlformats.org/spreadsheetml/2006/main">
  <authors>
    <author>Kyle Pickthall</author>
  </authors>
  <commentList>
    <comment ref="H8" authorId="0" shapeId="0">
      <text>
        <r>
          <rPr>
            <b/>
            <sz val="9"/>
            <color indexed="81"/>
            <rFont val="Tahoma"/>
            <family val="2"/>
          </rPr>
          <t>Kyle Pickthall:</t>
        </r>
        <r>
          <rPr>
            <sz val="9"/>
            <color indexed="81"/>
            <rFont val="Tahoma"/>
            <family val="2"/>
          </rPr>
          <t xml:space="preserve">
Rounding Value</t>
        </r>
      </text>
    </comment>
    <comment ref="I8" authorId="0" shapeId="0">
      <text>
        <r>
          <rPr>
            <b/>
            <sz val="9"/>
            <color indexed="81"/>
            <rFont val="Tahoma"/>
            <family val="2"/>
          </rPr>
          <t>Kyle Pickthall:</t>
        </r>
        <r>
          <rPr>
            <sz val="9"/>
            <color indexed="81"/>
            <rFont val="Tahoma"/>
            <family val="2"/>
          </rPr>
          <t xml:space="preserve">
Lead time in days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<sst xmlns="http://schemas.openxmlformats.org/spreadsheetml/2006/main" count="6865" uniqueCount="2086">
  <si>
    <t>EA</t>
  </si>
  <si>
    <t>PLANK 90P4310 PRESSURE WOOD FOUNDATION</t>
  </si>
  <si>
    <t>FT</t>
  </si>
  <si>
    <t>GUARD 8-0081M-01 POST</t>
  </si>
  <si>
    <t>BOX SPLICING FIBREGLASS C/W BOTTOM</t>
  </si>
  <si>
    <t>BOX SPLICING FIBREGLASS W/O BOTTOM</t>
  </si>
  <si>
    <t>BOX SERVICE CONCRETE COMPLETE 880 DEEP</t>
  </si>
  <si>
    <t>BASE 205MM DEEP FOR BOX SERVICE CONCRETE</t>
  </si>
  <si>
    <t>BOTTOM/TOP/EXT SECTION 375MM DEEP 5686SB</t>
  </si>
  <si>
    <t>RISER TOP 300MM DEEP FOR 1102 SERVICE</t>
  </si>
  <si>
    <t>RISER TOP 150MM DEEP FOR 1102 SERVICE</t>
  </si>
  <si>
    <t>VAULT SPLICING 2.8M X 1.0M C/W STEEL LID</t>
  </si>
  <si>
    <t>RING EXTENSION 940MM ID 1143MM OD 100MM</t>
  </si>
  <si>
    <t>RING EXTENSION 940MM ID 1143MM OD 125MM</t>
  </si>
  <si>
    <t>RING EXTENSION 940MM ID 1143MM OD 150MM</t>
  </si>
  <si>
    <t>VAULT SPLICING 2.8M X 1M FOR OVERBUILDS</t>
  </si>
  <si>
    <t>VAULT SERVICE 1.5M X 1.5M C/W STEEL LID</t>
  </si>
  <si>
    <t>VAULT 1.5M X 1.5M C/W CIRCULAR OPENING</t>
  </si>
  <si>
    <t>RISER 150MM FOR VAULT 1.5M X 1.5M SQUARE</t>
  </si>
  <si>
    <t>VAULT 1.5M X1.5 SPLIT C/W CIRCULAR</t>
  </si>
  <si>
    <t>VAULT 1.5M X 1.5M SPLIT C/W STEEL LID</t>
  </si>
  <si>
    <t>RISER 450MM FOR 1.5M X 1.5M SVC VAULTS</t>
  </si>
  <si>
    <t>MANHOLE PRECAST TYPE PLMH 2102 TOP &amp; BTM</t>
  </si>
  <si>
    <t>MANHOLE PRECAST TYPE PLMH 3152 TOP &amp; BTM</t>
  </si>
  <si>
    <t>RISER 150MM DEEP FOR GRADE ADJUSTMENTS</t>
  </si>
  <si>
    <t>ROOF FOR 1.5M X1.5M CIRCULAR VAULT</t>
  </si>
  <si>
    <t>LID METAL  CHECKER PLATE  FOR BOX</t>
  </si>
  <si>
    <t>UoM</t>
  </si>
  <si>
    <t>CAB FDH288F PAD STR F RIB D SCA 31M TE</t>
  </si>
  <si>
    <t>CAB FDH432F PAD STR F RIB D SCA 31M TE</t>
  </si>
  <si>
    <t>CAB FDH432F PAD STR F RIB D SCA 61M TE</t>
  </si>
  <si>
    <t>CAB FDH432F PAD STR F RIB D SCA 108M TE</t>
  </si>
  <si>
    <t>CAB FDH864F PAD STR F RIB D SCA 31M TE</t>
  </si>
  <si>
    <t>CAB FDH864F PAD STR F RIB D SCA 61M TE</t>
  </si>
  <si>
    <t>CAB FDH864F PAD STR F RIB D SCA 108M TE</t>
  </si>
  <si>
    <t>SPLITTER UNIVERSAL MODULE 1X32 SCAPC TE</t>
  </si>
  <si>
    <t>FDH PAD MOUNT FRAME 288/432F FOR TE</t>
  </si>
  <si>
    <t>FDH PAD MOUNT FRAME 864F FOR TE</t>
  </si>
  <si>
    <t>CABINET FDH864 PAD REPL'MT SHELL TE</t>
  </si>
  <si>
    <t>MR</t>
  </si>
  <si>
    <t>Make Ready</t>
  </si>
  <si>
    <t>Placing</t>
  </si>
  <si>
    <t>Splicing</t>
  </si>
  <si>
    <t>Drop</t>
  </si>
  <si>
    <t>ADHESIVE PADS (SCOP) 50/PK</t>
  </si>
  <si>
    <t>ANCHOR PLATE 2580 SQ CM FOR 25MM ROD</t>
  </si>
  <si>
    <t>ANCHOR ROCK 25MM X 450MM</t>
  </si>
  <si>
    <t>ANCHOR SCREW 250MM  10"  PISA C/W LEAD</t>
  </si>
  <si>
    <t>ANCHOR SCREW 250MM  10" DOUBLE HELIX</t>
  </si>
  <si>
    <t>ANCHOR SCREW 360MM  14"  PISA C/W LEAD</t>
  </si>
  <si>
    <t>ARM CABLE EXTENSION 4" X 5" X 10'</t>
  </si>
  <si>
    <t>ARM CABLE EXTENSION 4" X 5" X 4'</t>
  </si>
  <si>
    <t>ARM CABLE EXTENSION 4" X 5" X 6'</t>
  </si>
  <si>
    <t>AUDIT TAG WITH WRITE PANEL ORANGE 100/BG</t>
  </si>
  <si>
    <t>BG</t>
  </si>
  <si>
    <t>BOLT 1/2" 13 X 1" HEX HEAD ZINC BOX/50</t>
  </si>
  <si>
    <t>BX</t>
  </si>
  <si>
    <t>BOLT DOUBLE ARMING 5/8" X 14" GALV</t>
  </si>
  <si>
    <t>BOLT DOUBLE ARMING 5/8" X 16" GALV</t>
  </si>
  <si>
    <t>BOLT DOUBLE ARMING 5/8" X 18" GALV</t>
  </si>
  <si>
    <t>BOLT DOUBLE ARMING 5/8" X 20" GALV</t>
  </si>
  <si>
    <t>BOLT EXTENSION FOR 16MM (5/8") HARDWARE</t>
  </si>
  <si>
    <t>BOLT EXTENSION FOR 19MM (3/4") HARDWARE</t>
  </si>
  <si>
    <t>BOLT LAG HEX 3/8X3" GALV</t>
  </si>
  <si>
    <t>BOLT MACHINE 3/4" X  8" GALV C/W NUTS</t>
  </si>
  <si>
    <t>BOLT MACHINE 3/4" X 14" GALV C/W NUTS</t>
  </si>
  <si>
    <t>BOLT MACHINE 3/4" X 16" GALV C/W NUTS</t>
  </si>
  <si>
    <t>BOLT MACHINE 3/4" X 18" GALV C/W NUTS</t>
  </si>
  <si>
    <t>BOLT MACHINE 3/4" X 20" GALV C/W NUTS</t>
  </si>
  <si>
    <t>BOLT MACHINE 3/4" X 22" GALV C/W NUTS</t>
  </si>
  <si>
    <t>BOLT MACHINE 3/4" X 24" GALV C/W NUTS</t>
  </si>
  <si>
    <t>BOLT MACHINE 3/4IN X 12IN GALV C/W NUTS</t>
  </si>
  <si>
    <t>BOLT MACHINE 5/8" X 10" GALV C/W NUTS</t>
  </si>
  <si>
    <t>BOLT MACHINE 5/8" X 12" GALV C/W NUTS</t>
  </si>
  <si>
    <t>BOLT MACHINE 5/8" X 14" GALV C/W NUTS</t>
  </si>
  <si>
    <t>BOLT MACHINE 5/8" X 16" GALV C/W NUTS</t>
  </si>
  <si>
    <t>BOLT MACHINE 5/8" X 18" GALV C/W NUTS</t>
  </si>
  <si>
    <t>BOLT MACHINE 5/8" X 20" GALV C/W NUTS</t>
  </si>
  <si>
    <t>BOLT MACHINE 5/8" X 24" GALV C/W NUTS</t>
  </si>
  <si>
    <t>BOLT MACHINE 5/8" X 6" GALV C/W NUTS</t>
  </si>
  <si>
    <t>BOLT MACHINE 5/8" X 8" GALV C/W NUTS</t>
  </si>
  <si>
    <t>BOND CLAMP 10.5 FOSC ACC 25/pk</t>
  </si>
  <si>
    <t>BOND CLAMP BULLET SMALL</t>
  </si>
  <si>
    <t>BOND GRD 3M LGTH 6GA WATERPROOF</t>
  </si>
  <si>
    <t>BONDUIT ADHESIVE BULK KIT WITH TOOL</t>
  </si>
  <si>
    <t>KT</t>
  </si>
  <si>
    <t>BONDUIT CONDUIT ADHESIVE DISPEN TOOL</t>
  </si>
  <si>
    <t>BONDUIT CONDUIT ADHESIVE KIT WITHTOOL</t>
  </si>
  <si>
    <t>BOX SERVICE FBRGL LITEWGT LOC LID NO BOT</t>
  </si>
  <si>
    <t>BRACE DIAGONAL 2083MM X 44MM X 44MM X4.8</t>
  </si>
  <si>
    <t>BRACE DIAGONAL 914MM X 50MM X 50MM 6MM</t>
  </si>
  <si>
    <t>BRACKET ALUMINUM STANDOFF</t>
  </si>
  <si>
    <t>BRACKET ANGLE PUSH BRACE</t>
  </si>
  <si>
    <t>BRACKET SC11 AERIAL PIPE</t>
  </si>
  <si>
    <t>BRACKET T-SLOT 4 WAY 12 INCHES</t>
  </si>
  <si>
    <t>BRACKET T-SLOT 4 WAY 24 INCHES</t>
  </si>
  <si>
    <t>CABINET FDH 432F PAD SRT-F RIB-D SCA 31M</t>
  </si>
  <si>
    <t>CABINET FDH 432F PAD SRT-F RIB-D SCA 50M</t>
  </si>
  <si>
    <t>CABINET FDH 432F PAD SRT-F RIB-D SCA100M</t>
  </si>
  <si>
    <t>CABINET FDH 864F PAD SRT-F RIB-D SCA 31M</t>
  </si>
  <si>
    <t>CABINET FDH 864F PAD SRT-F RIB-D SCA 50M</t>
  </si>
  <si>
    <t>CABINET FDH 864F PAD SRT-F RIB-D SCA100M</t>
  </si>
  <si>
    <t>CABINET FDH288F PAD STR F RIB D SCA 31M</t>
  </si>
  <si>
    <t>CABINET FDH288F POLE STR F RIB D SCA 31M</t>
  </si>
  <si>
    <t>CABINET FDH432F POLE STR F RIB D SCA 31M</t>
  </si>
  <si>
    <t>CABINET FIBRE FEC-864 TRANSITION</t>
  </si>
  <si>
    <t>CABINET FIBRE SPLICE OSE-HD 1152/1728</t>
  </si>
  <si>
    <t>CABINET FIBRE SPLICE OSE-LD 576/864</t>
  </si>
  <si>
    <t>CABINET FIBRE WSC 48F WALL SPLICE RIB</t>
  </si>
  <si>
    <t>CABLE CLAMP KIT</t>
  </si>
  <si>
    <t>CABLE CLAMP KIT-LARGE</t>
  </si>
  <si>
    <t>CABLE ENTRY KIT 0.375" TO 0.5" BLUE</t>
  </si>
  <si>
    <t>CABLE ENTRY KIT 0.5" TO 0.625" BROWN</t>
  </si>
  <si>
    <t>CABLE ENTRY KIT 0.625" TO 0.75" YEL</t>
  </si>
  <si>
    <t>CABLE ENTRY KIT 0.75" to 0.875" PUR</t>
  </si>
  <si>
    <t>CABLE ENTRY KIT 0.875" TO 1.0" GRAY</t>
  </si>
  <si>
    <t>CABLE FIBRE 12F SM DIEL STR FLAT DROP</t>
  </si>
  <si>
    <t>CABLE FIBRE 12F SM PSP STR LT2 RD</t>
  </si>
  <si>
    <t>CABLE FIBRE 144F SM PSP STR LT2 RD</t>
  </si>
  <si>
    <t>CABLE FIBRE 144F SM SP DRY RIB CT</t>
  </si>
  <si>
    <t>CABLE FIBRE 24F SM PSP STR LT2 RD</t>
  </si>
  <si>
    <t>CABLE FIBRE 24F SM RISER 900UM EOS</t>
  </si>
  <si>
    <t>CABLE FIBRE 288F SM PSP DRY RIB LT</t>
  </si>
  <si>
    <t>CABLE FIBRE 288F SM PSP STR LT2 RD</t>
  </si>
  <si>
    <t>CABLE FIBRE 432F SM PSP DRY RIB LT</t>
  </si>
  <si>
    <t>CABLE FIBRE 48F SM PSP STR LT2 RD</t>
  </si>
  <si>
    <t>CABLE FIBRE 864F SM SP DRY RIB LT</t>
  </si>
  <si>
    <t>CABLE FIBRE 96F SM PSP STR LT2 RD</t>
  </si>
  <si>
    <t>CABLE FIBRE 96F SM SP DRY RIB CT</t>
  </si>
  <si>
    <t>CABLE TAG IMP 1.75 WHITE 100/PK</t>
  </si>
  <si>
    <t>CABLE TIE  ID 3.6" PAD SIZE 1"X.313"</t>
  </si>
  <si>
    <t>PK</t>
  </si>
  <si>
    <t>CABLE TIE .14IN X 11IN WHITE 100/pk</t>
  </si>
  <si>
    <t>CABLE TIE .27IN X 13.4IN BLACK</t>
  </si>
  <si>
    <t>CABLE TIE 485MM WEATHER RESISTANT</t>
  </si>
  <si>
    <t>CAP END HEAT SHRINK .75"ID TO .24" ID</t>
  </si>
  <si>
    <t>CAP END HEAT SHRINK 1.50"ID TO .75"ID</t>
  </si>
  <si>
    <t>CLAMP 701-450 RIGID CONDUIT</t>
  </si>
  <si>
    <t>CLAMP DROP WIRE 2-3PR WDGE TYPE F 25/BX</t>
  </si>
  <si>
    <t>CLAMP DROP WIRE 6 PR WEDGE TYPE FOR AB</t>
  </si>
  <si>
    <t>CLAMP LASHING WIRE TYPE D</t>
  </si>
  <si>
    <t>CLAMP P1117 RIGID CONDUIT</t>
  </si>
  <si>
    <t>CLAMP PG 1 BOLT 2/0 - 6</t>
  </si>
  <si>
    <t>CLAMP SLA22300 MESSENGER CORNER 2 BOLT</t>
  </si>
  <si>
    <t>CLAMP STRAND 3 BOLT</t>
  </si>
  <si>
    <t>CLAMP STRAND CROSSOVER</t>
  </si>
  <si>
    <t>CLAMP SUSPENSION CORNER FOR 19MM (3/4")</t>
  </si>
  <si>
    <t>CLAMP SUSPENSION FOR 16MM (5/8")</t>
  </si>
  <si>
    <t>CLAMP SUSPENSION STRAIGHT FOR 19MM(3/4")</t>
  </si>
  <si>
    <t>CLEANER 1GALLON PLASTIC BOTTLE</t>
  </si>
  <si>
    <t>CLEANER CLETOP FIBRE OPTIC CONNECTOR</t>
  </si>
  <si>
    <t>CLEANER CLETOP STICK 2.5MM FC SC ST</t>
  </si>
  <si>
    <t>CLEANER PVC CONDUIT (950 ML)</t>
  </si>
  <si>
    <t>CLOSURE FOSC 400 D5-36-1-NGV FIBRE OPTIC</t>
  </si>
  <si>
    <t>CLOSURE SG-6 PEDESTAL OUTSIDE GREEN</t>
  </si>
  <si>
    <t>COMPOUND SEALING 5LB</t>
  </si>
  <si>
    <t>CONDUIT 1" IPS (25MM) FLEX CAPS 100/BX</t>
  </si>
  <si>
    <t>CONDUIT 1-1/2" IPS 40MM  FUSION COUPLER</t>
  </si>
  <si>
    <t>CONDUIT 1-1/4 RIGID PVC  10FT LENGTHS</t>
  </si>
  <si>
    <t>CONDUIT 2"IPS (50MM) FLEXCAPS UNIT100/BX</t>
  </si>
  <si>
    <t>CONDUIT BRACKET STANDOFF</t>
  </si>
  <si>
    <t>CONDUIT CAP 20MM 3/4"SINGLE HOLE 100/CA</t>
  </si>
  <si>
    <t>CA</t>
  </si>
  <si>
    <t>CONDUIT CAP 38MM 1 1/2" SNGLE HOLE100/BX</t>
  </si>
  <si>
    <t>CONDUIT COUPLER 1-1/2" IPS 40MM PUSHLOCK</t>
  </si>
  <si>
    <t>CONDUIT COUPLER 1-1/4" IPS 32MM COMPR OR</t>
  </si>
  <si>
    <t>CONDUIT COUPLER 1-1/4" IPS 32MM PUSHLOCK</t>
  </si>
  <si>
    <t>CONDUIT COUPLER 2" IPS 50MM PUSHLOCK</t>
  </si>
  <si>
    <t>CONDUIT COUPLER 4" IPS 100MM SURLOCK</t>
  </si>
  <si>
    <t>CONDUIT COUPLERS COMPRESSION 3/4" 24/BX</t>
  </si>
  <si>
    <t>CONDUIT FUTUREPATH 16MM CAP</t>
  </si>
  <si>
    <t>CONDUIT FUTUREPATH 16MM COUPLER</t>
  </si>
  <si>
    <t>CONDUIT FUTUREPATH 18MM CAP</t>
  </si>
  <si>
    <t>CONDUIT FUTUREPATH 18MM COUPLER</t>
  </si>
  <si>
    <t>CONDUIT FUTUREPATH DUCT 7W 18X14MM3500T</t>
  </si>
  <si>
    <t>CONDUIT FUTUREPATH FLEX 6W 18X14MM4000FT</t>
  </si>
  <si>
    <t>CONDUIT HDPE 1-1/4" IPS 32MM SDR 11  OR</t>
  </si>
  <si>
    <t>CONDUIT HDPE 2"IPS 50MMX762M SDR13.5 OR</t>
  </si>
  <si>
    <t>CONDUIT HDPE 3"IPS 75MMX300M SDR 13.5 OR</t>
  </si>
  <si>
    <t>CONDUIT HDPE 4"IPS 100MMX200M SDR 13.5 O</t>
  </si>
  <si>
    <t>CONDUIT HDPE 4"IPS 100MMX400M SDR 9 OR</t>
  </si>
  <si>
    <t>CONDUIT HDPE 4"IPS BEND 90DEG 36" R O</t>
  </si>
  <si>
    <t>CONDUIT MICRODUCT TONE-R16X13MM 5000FT</t>
  </si>
  <si>
    <t>CONDUIT MICRODUCT TONE-R18X14MM 2-3000FT</t>
  </si>
  <si>
    <t>CONDUIT PVC CEMENT/GLUE FAST SET 475ML</t>
  </si>
  <si>
    <t>CONDUIT PVC DB2 100MM BD 45DEG 0.91M R O</t>
  </si>
  <si>
    <t>CONDUIT PVC DB2 100MM BD 90DEG 0.91M R O</t>
  </si>
  <si>
    <t>CONDUIT PVC DB2 100MM BD22.5DEG0.91M R O</t>
  </si>
  <si>
    <t>CONDUIT PVC DB2 100MM BELL END</t>
  </si>
  <si>
    <t>CONDUIT PVC DB2 100MM COUPLING</t>
  </si>
  <si>
    <t>CONDUIT PVC DB2 100MM -SCH40 SLVE COUP</t>
  </si>
  <si>
    <t>CONDUIT PVC DB2 100MM STR 6M OR</t>
  </si>
  <si>
    <t>CONDUIT PVC DB2 100MM TERM KNOCKOUT</t>
  </si>
  <si>
    <t>CONDUIT PVC DB2 50MM BD 90DEG 0.61M R O</t>
  </si>
  <si>
    <t>CONDUIT PVC DB2 50MM BELL END</t>
  </si>
  <si>
    <t>CONDUIT PVC DB2 50MM COUPLING</t>
  </si>
  <si>
    <t>CONDUIT PVC DB2 50MM STR 6M BELL END O</t>
  </si>
  <si>
    <t>CONDUIT PVC DB2 50MM TO SCH40 COUPL LONG</t>
  </si>
  <si>
    <t>CONDUIT PVC SCH 40 1" STR 3.1M G</t>
  </si>
  <si>
    <t>CONDUIT PVC SCH 40 1-1/4"X10FT STR G</t>
  </si>
  <si>
    <t>CONDUIT PVC SCH 40 2" 10FT STR G</t>
  </si>
  <si>
    <t>CONDUIT PVC SCH40 100MMX6M GLUELESS O</t>
  </si>
  <si>
    <t>CONDUIT PVC SCH40 1-1/4" BD90DEG7.25"R G</t>
  </si>
  <si>
    <t>CONDUIT REDUCER BUSHING 1-1/4 X 1 PVC</t>
  </si>
  <si>
    <t>CONDUIT STANDOFF BRACKET &amp; 12" UNISTRUT</t>
  </si>
  <si>
    <t>CONDUIT STANDOFF BRACKET &amp; 24" UNISTRUT</t>
  </si>
  <si>
    <t>CONDUIT STRAP 2 INCHES</t>
  </si>
  <si>
    <t>CONDUIT STRAP 4 INCHES</t>
  </si>
  <si>
    <t>CONDULET SLB30S 25MMPVC</t>
  </si>
  <si>
    <t>CONNECTOR A0402798 WATER TIGHT 3/4" NP</t>
  </si>
  <si>
    <t>CONNECTOR GRD #4AWG TO 1/4" STRAND</t>
  </si>
  <si>
    <t>CONNECTOR GRD 1/4" STRAND TO #6AWG</t>
  </si>
  <si>
    <t>CONNECTOR GRD 3/4" GRD ROD TO #4AWG</t>
  </si>
  <si>
    <t>CONNECTOR GRD 5/16" STRAND TO #4AWG</t>
  </si>
  <si>
    <t>CONNECTOR GRD 5/16" STRAND TO #6AWG</t>
  </si>
  <si>
    <t>CONNECTOR GRD 5/16" TO 5/16" STRAND</t>
  </si>
  <si>
    <t>CONNECTOR LUG 1 HOLE 10MM 50/BX</t>
  </si>
  <si>
    <t>CONNECTOR WATER TIGHT 1" NPT</t>
  </si>
  <si>
    <t>CORD FIBRE PATCH SLITE SC SC SM  13 0M</t>
  </si>
  <si>
    <t>CORD FIBRE PATCH SLITE SC SC SM  14 5M</t>
  </si>
  <si>
    <t>CORD FIBRE PATCH SLITE SC SC SM  19 0M</t>
  </si>
  <si>
    <t>CORD FIBRE PATCH SLITE SC SC SM  8 5M</t>
  </si>
  <si>
    <t>CORD FIBRE PATCH SL-SC-SC SM 10M P26</t>
  </si>
  <si>
    <t>CORD FIBRE PATCH SL-SC-SC SM 11.5M P31</t>
  </si>
  <si>
    <t>CORD OPTIC PATCH SM SC/UPC-SC/APC 2MM 3M</t>
  </si>
  <si>
    <t>CORD OPTIC PATCH SM SCAPC-OPTITSCAPC 3M</t>
  </si>
  <si>
    <t>CORD OPTIC PATCH SM SCUPC-OPTITSCAPC 3M</t>
  </si>
  <si>
    <t>COVER MANHOLE STREET C/W FRAME 838MM</t>
  </si>
  <si>
    <t>CRIMPER FOR SCOTCHLOK SINGLE CONNECTOR</t>
  </si>
  <si>
    <t>DECAL RA #0 BLK/ORANGE 1"x 1.5" (Pk 10)</t>
  </si>
  <si>
    <t>DECAL RA #1 BLK/ORANGE 1"x 1.5" (PK 10)</t>
  </si>
  <si>
    <t>DECAL RA #2 BLK/ORANGE 1"x 1.5" (PK 10)</t>
  </si>
  <si>
    <t>DECAL RA #3 BLK/ORANGE 1"x 1.5" (PK 10)</t>
  </si>
  <si>
    <t>DECAL RA #4 BLK/ORANGE 1"x 1.5" (PK 10)</t>
  </si>
  <si>
    <t>DECAL RA #5 BLK/ORANGE 1"x 1.5" (PK 10)</t>
  </si>
  <si>
    <t>DECAL RA #7 BLK/ORANGE 1"x 1.5" (Pk 10)</t>
  </si>
  <si>
    <t>DECAL RA #8 BLK/ORANGE 1"x 1.5" (Pk 10)</t>
  </si>
  <si>
    <t>DECAL RA#6OR9 BLK/ORANGE 1"x 1.5" Pk 10</t>
  </si>
  <si>
    <t>DECAL TERM #6 or 9 BLK/ORANGE 1.8"X2.25"</t>
  </si>
  <si>
    <t>DECAL TERMINAL "A" BLK/ORANGE 1.8"X2.25"</t>
  </si>
  <si>
    <t>DECAL TERMINAL "B" BLK/ORANGE 1.8"X2.25"</t>
  </si>
  <si>
    <t>DECAL TERMINAL "C"  BLK/ORANGE 1.8"X2.25</t>
  </si>
  <si>
    <t>DECAL TERMINAL #0 BLK/ORANGE 1.8"x2.25"</t>
  </si>
  <si>
    <t>DECAL TERMINAL #1 BLK/ORANGE 1.8"x2.25"</t>
  </si>
  <si>
    <t>DECAL TERMINAL #2 BLK/ORANGE 1.8"x2.25"</t>
  </si>
  <si>
    <t>DECAL TERMINAL #3 BLK/ORANGE 1.8"x2.25"</t>
  </si>
  <si>
    <t>DECAL TERMINAL #4 BLK/ORANGE 1.8"x2.25"</t>
  </si>
  <si>
    <t>DECAL TERMINAL #5 BLK/ORANGE 1.8"x2.25"</t>
  </si>
  <si>
    <t>DECAL TERMINAL #7 BLK/ORANGE 1.8"x2.25"</t>
  </si>
  <si>
    <t>DECAL TERMINAL #8 BLK/ORANGE 1.8"x2.25"</t>
  </si>
  <si>
    <t>DESSICANT 75 GRAM  40/pk</t>
  </si>
  <si>
    <t>DESSICANT C 115 GRAM BAGS 10BG/CAN</t>
  </si>
  <si>
    <t>CN</t>
  </si>
  <si>
    <t>DROP 1F OPTITAP I/O DIEL SCAPC-STUB 50M</t>
  </si>
  <si>
    <t>DROP 1F OPTITAP I/O DIEL SCAPC-STUB100M</t>
  </si>
  <si>
    <t>DROP 1F OPTITAP I/O DIEL SCAPC-STUB150M</t>
  </si>
  <si>
    <t>DROP 1F OPTITAP I/O DIEL SCAPC-STUB450M</t>
  </si>
  <si>
    <t>DROP 1F OPTITAP I/O DIEL SCA-STUB 200M</t>
  </si>
  <si>
    <t>DROP 1F OPTITAP I/O DIEL SCA-STUB 20M</t>
  </si>
  <si>
    <t>DROP 1F OPTITAP I/O DIEL SCA-STUB 300M</t>
  </si>
  <si>
    <t>DROP 1F OPTITAP I/O DIEL SCA-STUB 30M</t>
  </si>
  <si>
    <t>DROP 1F OPTITAP I/O DIEL SCA-STUB 400M</t>
  </si>
  <si>
    <t>DROP 1F RUGED SM I/O SCAPC-SCAPC BLK 10M</t>
  </si>
  <si>
    <t>DROP 1F RUGED SM I/O SCAPC-SCAPC BLK 20M</t>
  </si>
  <si>
    <t>DROP 1F RUGED SM I/O SCAPC-SCAPC BLK 30M</t>
  </si>
  <si>
    <t>DROP 1F RUGGED SM I/O BLK 457M/BX</t>
  </si>
  <si>
    <t>DROP 1F RUGGED SM I/O SCAPC-SCAPC BLK 5M</t>
  </si>
  <si>
    <t>DROP 1F RUGGED SM I/O SCAPC-STUB BLK 10M</t>
  </si>
  <si>
    <t>DROP 1F RUGGED SM I/O SCAPC-STUB BLK 20M</t>
  </si>
  <si>
    <t>DROP 1F RUGGED SM I/O SCAPC-STUB BLK 30M</t>
  </si>
  <si>
    <t>DROP 2F OPTITAP I/O TONE SCA-STUB100M</t>
  </si>
  <si>
    <t>DROP 2F OPTITAP I/O TONE SCA-STUB150M</t>
  </si>
  <si>
    <t>DROP 2F OPTITAP I/O TONE SCA-STUB200M</t>
  </si>
  <si>
    <t>DROP 2F OPTITAP I/O TONE SCA-STUB50M</t>
  </si>
  <si>
    <t>DROP1F UNIVER OPTITAP DIEL SCA-STB 100M</t>
  </si>
  <si>
    <t>DROP1F UNIVER OPTITAP DIEL SCA-STB 150M</t>
  </si>
  <si>
    <t>DROP1F UNIVER OPTITAP DIEL SCA-STB 50M</t>
  </si>
  <si>
    <t>EMS NEAR SURFACE MARKER 1432</t>
  </si>
  <si>
    <t>EYEBOLT ANGLE 19MM X 350MM  14"</t>
  </si>
  <si>
    <t>EYEBOLT ANGLE 25MM X 300MM  12"</t>
  </si>
  <si>
    <t>EYEBOLT ANGLE 25MM X 350MM  14"</t>
  </si>
  <si>
    <t>EYEBOLT ANGLE 25MM X 400MM  16"</t>
  </si>
  <si>
    <t>EYEBOLT ANGLE 25MM X 450MM  18"</t>
  </si>
  <si>
    <t>FIBER FLAT DROP CABLE SLITTER</t>
  </si>
  <si>
    <t>FIBER TRAY INSIDE NIB 6" X 7.5"</t>
  </si>
  <si>
    <t>FIBRE ADAPTER CLEANER 2.5MM SC, FC, IBC</t>
  </si>
  <si>
    <t>FIBRE ADAPTER OPTITAP PORT CLEANER</t>
  </si>
  <si>
    <t>FIBRE OPTIC ADAPTER SM SC/APC FLANGE</t>
  </si>
  <si>
    <t>FIBRE SPLICE PROTECT SLEEVE 60MM 100/PK</t>
  </si>
  <si>
    <t>FIBRE SPLICE PROTECTION SLEEVE RIB 50/pk</t>
  </si>
  <si>
    <t>FLOWER POT 910-10 VAULT- GREEN LOCATABLE</t>
  </si>
  <si>
    <t>FOSC 400 SPLICE CLOSURE 5 DROP KIT</t>
  </si>
  <si>
    <t>FOSC 450 AERIAL CLOSURE CLAMPS</t>
  </si>
  <si>
    <t>FOSC 450BS COMPRESSION CLOSURE</t>
  </si>
  <si>
    <t>FOSC 450D GEL FIBRE OPTIC SPLICE CLOSURE</t>
  </si>
  <si>
    <t>FOSC ACC 450 FIBRGRD</t>
  </si>
  <si>
    <t>FOSC ACC D-TRAY RIBN 24</t>
  </si>
  <si>
    <t>FOSC-ACC-CABLE-SEAL-1NT NEW CABLE TERM</t>
  </si>
  <si>
    <t>GAS CYLINDER U/W TDUX INSTALL TOOL 10/BX</t>
  </si>
  <si>
    <t>GATOR 12F SPLICE CLOSURE</t>
  </si>
  <si>
    <t>GRATE 406MM X 610MM CAST IRON SLOTTED</t>
  </si>
  <si>
    <t>GREY BUTYL SEALING TAPE FOR ENG. SPLICE</t>
  </si>
  <si>
    <t>RL</t>
  </si>
  <si>
    <t>GRIP DEADEND FALSE 1/4" #6</t>
  </si>
  <si>
    <t>GRIP DEADEND FALSE 5/16" #8</t>
  </si>
  <si>
    <t>GRIP DEADEND PREFORM 1/4" YELLOW B COAT</t>
  </si>
  <si>
    <t>GRIP DEADEND PREFORM 5/16" BLACK 'C' CTG</t>
  </si>
  <si>
    <t>GRIP DEADEND PREFORM 5/16" BLACK STAGGER</t>
  </si>
  <si>
    <t>GRIP DEADEND PREFORM 7/16" GREEN 'C' CO</t>
  </si>
  <si>
    <t>GRIP DEADEND PREFORM 7/16" GREEN STAGGER</t>
  </si>
  <si>
    <t>GROUND BRAID WITH EYELETS</t>
  </si>
  <si>
    <t>GROUND REFERENCE PLATE FOR TONING FIBER</t>
  </si>
  <si>
    <t>GROUNDING KIT</t>
  </si>
  <si>
    <t>GUARD 1" (25MM) STANDARD DUTY 10' LENGTH</t>
  </si>
  <si>
    <t>GUARD 2" (50MM) SCH 40 10' LENGTHS</t>
  </si>
  <si>
    <t>GUARD CABLE 2 1/4" X 8' 14GA GALV STEEL</t>
  </si>
  <si>
    <t>GUARD CABLE 2 1/4" X 8' LATERAL</t>
  </si>
  <si>
    <t>GUARD CABLE 3 1/4" X 8' 14GA GALV STEEL</t>
  </si>
  <si>
    <t>GUARD CABLE 3 1/4" X 8' WITHOUT FLANGE</t>
  </si>
  <si>
    <t>GUARD CABLE 4 1/2" X 8' LATERAL</t>
  </si>
  <si>
    <t>GUARD CABLE FIBREGLASS 2M ENCLOSURE 3WAY</t>
  </si>
  <si>
    <t>GUY GUARDS-YELLOW</t>
  </si>
  <si>
    <t>GUY THIMBLE ANGLE EYE FOR 19MM BOLTS</t>
  </si>
  <si>
    <t>HOOK CABLE RACK 210MM 8 1/4" MH SUPPORT</t>
  </si>
  <si>
    <t>HOOK DRIVE 7/16" X 4 3/4" GALV</t>
  </si>
  <si>
    <t>HOOK FOR WALL TO ATTACH DROP WIRE 100/CN</t>
  </si>
  <si>
    <t>HOOK GUY 3/4" GALV</t>
  </si>
  <si>
    <t>HOOK GUY SLA80342 5/8 X 3/4" BOLT</t>
  </si>
  <si>
    <t>HOUSING - NETWORK INTERFACE BOX</t>
  </si>
  <si>
    <t>INSULATOR STRAIN PORCELAIN</t>
  </si>
  <si>
    <t>KIT 5/16" NUTS/BOLTS/WASHERS PLP</t>
  </si>
  <si>
    <t>KIT CLEANING FIBRE FILLED</t>
  </si>
  <si>
    <t>KIT CLEANING FOR FIBRE OPTIC CONNECTORS</t>
  </si>
  <si>
    <t>KIT GROUNDING MANHOLE COMPLETE 25/Pk</t>
  </si>
  <si>
    <t>KIT INSTALLATION SGU</t>
  </si>
  <si>
    <t>KIT OVAL PORT SEAL/WRAPAROUND</t>
  </si>
  <si>
    <t>KIT SPLICE-PAK 250UM-250UM YELLOW 25/PK</t>
  </si>
  <si>
    <t>LID CHECKER PLATE FOR 2335 SERVICE BOX</t>
  </si>
  <si>
    <t>LINK ALUM 1/4" X 3/4" X 1 1/2"</t>
  </si>
  <si>
    <t>LUBRICANT CA POLYWATER TYPE"F"9.54L(2.5)</t>
  </si>
  <si>
    <t>LUBRICANT POLYWATER J SQUIRT BOTTLE</t>
  </si>
  <si>
    <t>MANHOLE 0004 PRECAST A 1.4M X 2.9M X 2M</t>
  </si>
  <si>
    <t>MARKER VINYL WIRE  COUNTS 100 TO 124</t>
  </si>
  <si>
    <t>CG</t>
  </si>
  <si>
    <t>MODULE REMOTE ACCESS (CORAM)</t>
  </si>
  <si>
    <t>MODULE SPLICE FOSC ACC SM-KIT</t>
  </si>
  <si>
    <t>MOUNTING BRACKET FOR MPT IN 66 BOX</t>
  </si>
  <si>
    <t>MOUNTING KIT CAB OSE T-SLOT/UNISTR</t>
  </si>
  <si>
    <t>MPT MOUNT BRACKET  FOR 150 STYLE VAULT</t>
  </si>
  <si>
    <t>MULETAPE DETECTABLE 22GA 1KM/REEL</t>
  </si>
  <si>
    <t>MULETAPE WOVEN POLY 1800 LB 1/2M MARK</t>
  </si>
  <si>
    <t>MULETAPE WOVEN POLYESTER 2500LB</t>
  </si>
  <si>
    <t>MULTIDROP KIT WITH CABLE ATTACHMENTS</t>
  </si>
  <si>
    <t>MULTIDROP SEALING KIT CBL ATTACHMENTS</t>
  </si>
  <si>
    <t>MULTIPORT BRACKET FOR 6000 SERIES BOX</t>
  </si>
  <si>
    <t>MULTIPORT MOUNTING BRACKET 12 PORT</t>
  </si>
  <si>
    <t>MULTIPORT MOUNTING BRACKET 2 TO 8 PORT</t>
  </si>
  <si>
    <t>NUT SQUARE 25MM (1") GALV</t>
  </si>
  <si>
    <t>NUT SQUARE 3/4" GALVANIZED 250/BX</t>
  </si>
  <si>
    <t>NUT SQUARE 5/8" GALVANIZED</t>
  </si>
  <si>
    <t>NUT THIMBLEYE 1" GALV</t>
  </si>
  <si>
    <t>NUT THIMBLEYE 3/4" GALV</t>
  </si>
  <si>
    <t>NUT THIMBLEYE 5/8" GALV</t>
  </si>
  <si>
    <t>NUT TWINEYE FOR ANCHOR ROD 25MM</t>
  </si>
  <si>
    <t>OPTITAP MT ML/FEML END CLEANER</t>
  </si>
  <si>
    <t>OPTITAP SC MALE END TAPE CLEANER DROP</t>
  </si>
  <si>
    <t>OVERBUILD FOR 2335 BOX C/W LID</t>
  </si>
  <si>
    <t>PEA GRAVEL WASHED/BAGGED 50LBS (22KG)</t>
  </si>
  <si>
    <t>PEDESTAL  MAH142016000841 VENTED</t>
  </si>
  <si>
    <t>PEDESTAL MAH121216000758 NON-VENTED</t>
  </si>
  <si>
    <t>PILASTER FIBREGLASS FOR 1 100MM DUCT</t>
  </si>
  <si>
    <t>PILASTER FIBREGLASS FOR 3 100MM DUCT</t>
  </si>
  <si>
    <t>PILASTER FIBREGLASS FORM C/W CABLE GUARD</t>
  </si>
  <si>
    <t>POLE BAND 10" TO DEADEND 2 STRANDS</t>
  </si>
  <si>
    <t>POLE BAND 12" TO DEADEND 2 STRANDS</t>
  </si>
  <si>
    <t>POLE BAND 14" TO DEADEND 2 STRANDS</t>
  </si>
  <si>
    <t>POLE BAND 16" TO DEADEND 2 STRANDS</t>
  </si>
  <si>
    <t>POLE BAND 8" TO DEADEND 2 STRANDS</t>
  </si>
  <si>
    <t>POLE FULLY TREATED CL 1 13.72M 45'</t>
  </si>
  <si>
    <t>POLE FULLY TREATED CL 2 10.67M 35'</t>
  </si>
  <si>
    <t>POLE FULLY TREATED CL 2 12.19M 40'</t>
  </si>
  <si>
    <t>POLE FULLY TREATED CL 2 13.72M 45'</t>
  </si>
  <si>
    <t>POLE FULLY TREATED CL 3 10.67M 35'</t>
  </si>
  <si>
    <t>POLE FULLY TREATED CL 3 12.19M 40'</t>
  </si>
  <si>
    <t>POLE FULLY TREATED CL 3 13.72M 45'</t>
  </si>
  <si>
    <t>POLE FULLY TREATED CL 3 15.24M 50'</t>
  </si>
  <si>
    <t>POLE FULLY TREATED CL 4 10.67M 35'</t>
  </si>
  <si>
    <t>POLE FULLY TREATED CL 4 13.72M 45'</t>
  </si>
  <si>
    <t>POLE FULLY TREATED CL 5 10.67M 35'</t>
  </si>
  <si>
    <t>POLE FULLY TREATED CL 5 12.19M 40'</t>
  </si>
  <si>
    <t>POLE MOUNT BRACKET FDH 432F CABLE SHROUD</t>
  </si>
  <si>
    <t>POLE MOUNT BRT FDH 144-288F CABLE SHROUD</t>
  </si>
  <si>
    <t>POST MOUNTING 80" SIGN</t>
  </si>
  <si>
    <t>RACKING SERVICE BOX MOUNTING BRACKET</t>
  </si>
  <si>
    <t>REFILL FOR CLETOP CONNECTOR CLEANER</t>
  </si>
  <si>
    <t>RISER 300MM SPLICE BOX 150 SB</t>
  </si>
  <si>
    <t>RISER 8" FOR 2335 SERVICE BOX</t>
  </si>
  <si>
    <t>ROD ANCHOR 25MM (1") X 1.05M (3 1/2')</t>
  </si>
  <si>
    <t>ROD ANCHOR 25MM (1") X 2.1M (7')</t>
  </si>
  <si>
    <t>ROD ANCHOR 25MM X 2.4M (1" X 8') DOUBLE</t>
  </si>
  <si>
    <t>ROD ANCHOR 25MM X 3M (1" X 10') DOUBLE</t>
  </si>
  <si>
    <t>ROD GROUND GALV 3/4" X 10' NON-TAPERED</t>
  </si>
  <si>
    <t>ROPE NYLON BRAID 1112'/ROLL (TWINE)</t>
  </si>
  <si>
    <t>SCOTCH LOK UY2 BOX OF 100</t>
  </si>
  <si>
    <t>SCREW WD #8X 1 1/2IN RD HD RBRTSN</t>
  </si>
  <si>
    <t>SEQUENCED TERMINATION UNIT NORSCAN 2230C</t>
  </si>
  <si>
    <t>SERVICE BOX 13"WX24"L C/W LID NO BOT</t>
  </si>
  <si>
    <t>SERVICE BOX 17"WX30"L C/W LID NO BOT</t>
  </si>
  <si>
    <t>SERVICE BOX 23"-35" X24"D C/W LID NO BOT</t>
  </si>
  <si>
    <t>SERVICE BOX MOUNTING BRACKET FOR MPT</t>
  </si>
  <si>
    <t>SIGN CAUTION FIBRE OPTIC</t>
  </si>
  <si>
    <t>SIGN CYLINDER - DANGER BURIED CABLE</t>
  </si>
  <si>
    <t>SLB 40S FITTING 1-1/4INCH</t>
  </si>
  <si>
    <t>SLEEVE GALV PREFORMED FOR 10STRAND 7/16"</t>
  </si>
  <si>
    <t>SLEEVE GALV PREFORMED FOR 8STRAND 5/16"</t>
  </si>
  <si>
    <t>SLEEVE TCS2 17X48 HEATSHRINK</t>
  </si>
  <si>
    <t>SOLUTION FCS08 CLEANING 99%</t>
  </si>
  <si>
    <t>SPACER CABLE STACKABLE FOR DELTEC STRAPS</t>
  </si>
  <si>
    <t>SPLICE STRAND PREFORMED FOR 5/16" C-COAT</t>
  </si>
  <si>
    <t>SPLICE TRAY FUL LEN 24/48/72F QPK/HS/MAS</t>
  </si>
  <si>
    <t>SPLICE TRAYS FOR 450BS FOSC (2 PER BOX)</t>
  </si>
  <si>
    <t>SPRAY CLEANER 4X COMPOUND</t>
  </si>
  <si>
    <t>SQUEEKYKLEEN WIPES CT/144</t>
  </si>
  <si>
    <t>STRAND 10MM 7/16" 75MR/COIL</t>
  </si>
  <si>
    <t>CX</t>
  </si>
  <si>
    <t>STRAND 8MM 5/16" 1500MR/REEL</t>
  </si>
  <si>
    <t>RE</t>
  </si>
  <si>
    <t>STRAND 8MM 5/16" 750MR/REEL</t>
  </si>
  <si>
    <t>STRAND 8MM 5/16" 75MR/COIL</t>
  </si>
  <si>
    <t>STRANDLINK FOR 10 STRAND (7/16")</t>
  </si>
  <si>
    <t>STRANDLINK FOR 6 STRAND (1/4")</t>
  </si>
  <si>
    <t>STRANDLINK FOR 8 STRAND (5/16')</t>
  </si>
  <si>
    <t>STRANDLINK REDUCER 8 (5/16") TO 6 (1/4")</t>
  </si>
  <si>
    <t>STRANDVISE 5/16"</t>
  </si>
  <si>
    <t>STRANDVISE GRIP FOR 6 (1/4") STRAND</t>
  </si>
  <si>
    <t>STRAP 2 1/4" FOR CABLE GUARD</t>
  </si>
  <si>
    <t>STRAP 3 1/4" FOR CABLE GUARD 7535</t>
  </si>
  <si>
    <t>STRAP 8" EXTENSION TO SUPPORT 16MM(5/8")</t>
  </si>
  <si>
    <t>STRAP 8" EXTENSION TO SUPPORT 19MM(3/4")</t>
  </si>
  <si>
    <t>STRAP CABLE &amp; WIRE 15.25"L X .301"W</t>
  </si>
  <si>
    <t>STRAP CABLE &amp; WIRE 8" LIGHT DUTY -100/PK</t>
  </si>
  <si>
    <t>STRAP CABLE 50'/RL FOR DELTEC SYSTEM</t>
  </si>
  <si>
    <t>STRAP CABLE SUPPORT 27" FOR DELTEC 25/pk</t>
  </si>
  <si>
    <t>STRAP PIPE GALV 1.00" STD 2-HOLE</t>
  </si>
  <si>
    <t>STRAP PIPE GALV 1.25" STD 2-HOLE</t>
  </si>
  <si>
    <t>SWING ARM FOR 13X24 SERVICE BOX</t>
  </si>
  <si>
    <t>SWING ARM FOR 17X30 SERVICE BOX</t>
  </si>
  <si>
    <t>TAG CABLE RED PLASTIC 25/PK</t>
  </si>
  <si>
    <t>TAPE 19MM BLUE WARNING</t>
  </si>
  <si>
    <t>TAPE BURIED MARKER "TELUS"</t>
  </si>
  <si>
    <t>TAPE MEASURING CONDUIT 3 1/16 X 3000'</t>
  </si>
  <si>
    <t>TAPE RUBBER BUTYL 1 1/2" X 10" GREY</t>
  </si>
  <si>
    <t>TAPE VINYL 24MM X 20M BLACK (1" X 66')</t>
  </si>
  <si>
    <t>TAPE VINYL 3/4" X 66' BLACK ELECTRICAL</t>
  </si>
  <si>
    <t>TAPE VINYL 36MM X 20M BLACK 1 1/2" x 66'</t>
  </si>
  <si>
    <t>T-DUX-100-KIT ENGL 3" TO 4.5" DIA</t>
  </si>
  <si>
    <t>T-DUX-100S-KIT-ENGL</t>
  </si>
  <si>
    <t>T-DUX-35-KIT ENGL 1" TO 1.5" DIA</t>
  </si>
  <si>
    <t>T-DUX-45-KIT ENGL 2" TO 2.5" DIA</t>
  </si>
  <si>
    <t>T-DUX-60-KIT ENGL 1.75" TO 2" DIA</t>
  </si>
  <si>
    <t>T-DUX-75-KIT-ENGL</t>
  </si>
  <si>
    <t>T-DUX-90-KIT-ENGL</t>
  </si>
  <si>
    <t>T-DUX-90S-KIT ENGL</t>
  </si>
  <si>
    <t>TDUX-CL-20</t>
  </si>
  <si>
    <t>TDUX-CL-40</t>
  </si>
  <si>
    <t>T-DUX-CL-60 CLIP MASTIC SEALING 3 OR MOR</t>
  </si>
  <si>
    <t>T-DUX-LUBRICANT-KIT(B12)</t>
  </si>
  <si>
    <t>TEXPAD CLEANER</t>
  </si>
  <si>
    <t>THIMBLE GUY -10/12 (7/16" / 1/2") STRAND</t>
  </si>
  <si>
    <t>THIMBLE GUY GALV STEEL #6  (1/4") STRAND</t>
  </si>
  <si>
    <t>THIMBLE GUY GALV STEEL 8  5/16"  STRAND</t>
  </si>
  <si>
    <t>TRAY DUAL SPLICE W/RAYCHEM CHIPS</t>
  </si>
  <si>
    <t>TRAY FOR 36 FIBRE SPLICES (2/BX)</t>
  </si>
  <si>
    <t>TRAY SLACK BUFFER TUBE STORAGE KIT</t>
  </si>
  <si>
    <t>TRAY SLACK BUFFER TUBE STORAGE KIT TALL</t>
  </si>
  <si>
    <t>TUBING BRAIDED LTS BLACK 24-900UM</t>
  </si>
  <si>
    <t>TUBING BRAIDED LTS BLK 1/2" 30MR/RL</t>
  </si>
  <si>
    <t>TUBING BRAIDED LTS WHITE 12-250UM</t>
  </si>
  <si>
    <t>TUBING VERSAFIT-1/2-0-FSP</t>
  </si>
  <si>
    <t>TWINE POLY SELF DISPENSING CARTON BLUE/W</t>
  </si>
  <si>
    <t>UNIT SHEATH GROUNDING (NORSCAN)</t>
  </si>
  <si>
    <t>UNIT SPLICE SENSOR</t>
  </si>
  <si>
    <t>VALVE BACKWATER 100MM C/W "P" TRAP</t>
  </si>
  <si>
    <t>VAULT LID 2PIECE 36"X60" TIER15</t>
  </si>
  <si>
    <t>VAULT MARKER 48" FIBERGLASS ROD</t>
  </si>
  <si>
    <t>VAULT MARKER BRACKET</t>
  </si>
  <si>
    <t>VAULT MINI BOT 36"X60" 432F FDH TRIPLE</t>
  </si>
  <si>
    <t>VAULT MINI BOT 36"X72" 864F FDH TRIPLE</t>
  </si>
  <si>
    <t>VAULT MINI NO BOT36"X60" 432F FDH TRIPLE</t>
  </si>
  <si>
    <t>VAULT MINI NO BOT36"X72" 864F FDH TRIPLE</t>
  </si>
  <si>
    <t>VAULT MINI NO BOTTOM 1X1X1M TIER15 SUB'D</t>
  </si>
  <si>
    <t>VAULT MINI NO BOTTOM 60X36X36" FOR SUB'D</t>
  </si>
  <si>
    <t>VELCRO DBL SIDED 0.750" WIDTH 15' ROLL</t>
  </si>
  <si>
    <t>WASHER CURVED 6"X 6"X 1/2" HOLE 1 1/16"</t>
  </si>
  <si>
    <t>WASHER CURVED/SQUARE 3"X3" X1/4"</t>
  </si>
  <si>
    <t>WASHER CURVED/SQUARE 4"X4" 7/8" HOLE</t>
  </si>
  <si>
    <t>WASHER ROUND 1 3/4" OD GALV</t>
  </si>
  <si>
    <t>WASHER SQUARE 2 1/4" FOR 5/8" BOLTS</t>
  </si>
  <si>
    <t>WASHER SQUARE 2 1/4"FOR 3/4"BOLTS 250/BX</t>
  </si>
  <si>
    <t>WASHER SQUARE/FLAT 4" X 4" 3/8"</t>
  </si>
  <si>
    <t>WIRE GROUND TW #6 STRAND GRN  75M/SP</t>
  </si>
  <si>
    <t>WIRE LASHING 0.045" GRADE 316</t>
  </si>
  <si>
    <t>WORKSHELF FIBRE VAULT CABINET OSE</t>
  </si>
  <si>
    <t>WRAP SPIRAL YEL 1/4 IN 30M/RL</t>
  </si>
  <si>
    <t>WRAP SPIRAL YEL NO TC 30M/RL C/W MARKER</t>
  </si>
  <si>
    <t>WYE SPLIT 50MM FOR EB1 &amp; DB2</t>
  </si>
  <si>
    <t>CLAMP SPAN TYPE C TO SUPPORT DROP WIRE</t>
  </si>
  <si>
    <t>CONDUIT PVC DB2 100MM PLUG</t>
  </si>
  <si>
    <t>FIBRE CLEANING WIPES OPTISNAP REPL'MT</t>
  </si>
  <si>
    <t>STEEL PIPE 2 1/2"10' U/W SIDEWALK ANCHOR</t>
  </si>
  <si>
    <t>FITTING GUY FOR SIDEWALK BRACE</t>
  </si>
  <si>
    <t>FITTING POLE FOR SIDEWALK BRACE</t>
  </si>
  <si>
    <t>POLE FULLY TREATED CL 3 9.14M 30'</t>
  </si>
  <si>
    <t>CONDUIT PVC DB2 100MM BD 90DEG 0.61M R G</t>
  </si>
  <si>
    <t>SPLITTER MOD FDH 1X32 SCAPC LS &amp; HD CORN</t>
  </si>
  <si>
    <t>CONDUIT PVC DB2 MANHOLE ENT ADPTER SOC</t>
  </si>
  <si>
    <t>DECAL "A" BLK/ORANGE 1"X 1.5"  RA</t>
  </si>
  <si>
    <t>DECAL "B" BLK/ORANGE 1"X 1.5"  RA</t>
  </si>
  <si>
    <t>DECAL "C" BLK/ORANGE 1"X 1.5"  RA</t>
  </si>
  <si>
    <t>DECAL "D" BLK/ORANGE 1"X 1.5"  RA</t>
  </si>
  <si>
    <t>DECAL "E" BLK/ORANGE 1"X 1.5"  RA</t>
  </si>
  <si>
    <t>DECAL "F" BLK/ORANGE 1"X 1.5"  RA</t>
  </si>
  <si>
    <t>DECAL "G" BLK/ORANGE 1"X 1.5"  RA</t>
  </si>
  <si>
    <t>FIBRE ADAPTER CLEANER 1.5MM LC, IBC</t>
  </si>
  <si>
    <t>CONDUIT BEND PVC 100MM X 600MM 90 DEG</t>
  </si>
  <si>
    <t>RIBBON SPLICE TRAY FOR FOSC A&amp;B CLOSURES</t>
  </si>
  <si>
    <t>SPLICE TRAY CABINET OSE RIB 12-12F/T</t>
  </si>
  <si>
    <t>Vault concr1102 steel lid H10 c/w bottom</t>
  </si>
  <si>
    <t>Vault concr1102 steel lid H20 c/w bottom</t>
  </si>
  <si>
    <t>CABLE FIBRE MARKER TIES 8MMX23MM 100/pk</t>
  </si>
  <si>
    <t>LINE TERMINATING FC UNIT (LTU) NORSCAN</t>
  </si>
  <si>
    <t>CLAMP CABLE 5/8" GALV STEEL</t>
  </si>
  <si>
    <t>CLAMP CABLE 11/16" GALV STEEL</t>
  </si>
  <si>
    <t>CLAMP CABLE 3/4" GALV STEEL</t>
  </si>
  <si>
    <t>CLAMP CABLE 7/8" GALV STEEL</t>
  </si>
  <si>
    <t>CLAMP CABLE 1 1/8" GALV STEEL</t>
  </si>
  <si>
    <t>8CH CWDM MUX/DEMUX 1LGX 1471-1611NM</t>
  </si>
  <si>
    <t>CABLE FIBRE STUB 48F STUB 12-LC 50M</t>
  </si>
  <si>
    <t>GROUNDING FOSC ACC DAEG DOUBLE ARMOUR</t>
  </si>
  <si>
    <t>BOX SERVICE FBRGL LIGHTWEIGHT C/W LID</t>
  </si>
  <si>
    <t>CONDUIT PVC SCH 40 1" BD 90DEG 5.75"R G</t>
  </si>
  <si>
    <t>DEADEND WIRE PREFORMED PTD 4PR DROP 14"L</t>
  </si>
  <si>
    <t>STRANDLINK .112" - .114" FIG 8 DROP WIRE</t>
  </si>
  <si>
    <t>FURCATION KIT 900 MICRON GPON NID</t>
  </si>
  <si>
    <t>MID SPAN DROP CLAMP</t>
  </si>
  <si>
    <t>SCREW WOOD #8 X 2 1/2" RD HD ROBERTSON</t>
  </si>
  <si>
    <t>SCREW WOOD #8 X 2IN RD HD RBRTSN</t>
  </si>
  <si>
    <t>STAPLE 1 1/16" X 3" GALV 100/BX</t>
  </si>
  <si>
    <t>CORD OPTIC PATCHSM SCA-SCA 2MM SPLX 2M</t>
  </si>
  <si>
    <t>CWDM SFP TEMP HARDENED1490NM 40KM</t>
  </si>
  <si>
    <t>CWDM SFP TEMP HARDENED1510NM 40KM</t>
  </si>
  <si>
    <t>ZEBRA FIBRE CLOSURE 1 LARGE PORT</t>
  </si>
  <si>
    <t>SPLICE TRAY CABINET OSE SINGLE 48 T</t>
  </si>
  <si>
    <t>CABLE ENTRY KIT 1.250 TO 1.375 WHITE</t>
  </si>
  <si>
    <t>CABLE ENTRY KIT 1.0" TO 1.28" PINK</t>
  </si>
  <si>
    <t>STRAND 10MM SIZE 7/16" 750M/RL</t>
  </si>
  <si>
    <t>POST 81P3010 PROTECTION JWI</t>
  </si>
  <si>
    <t>Transition</t>
  </si>
  <si>
    <t>CLAMP O SPAN</t>
  </si>
  <si>
    <t>CLAMP FLAT FIBRE OPTIC DRO</t>
  </si>
  <si>
    <t>CONDUIT STAND-OFF BRACKET 18" FOR ATCO</t>
  </si>
  <si>
    <t>Civil</t>
  </si>
  <si>
    <t>CLAMP 25MM PIPE STRAP</t>
  </si>
  <si>
    <t>TONING WIRE AND GROUND BRACKET ASSEMBLY</t>
  </si>
  <si>
    <t>SPIRAL WRAP BLUE FIBRE IDENTIFICATION</t>
  </si>
  <si>
    <t>CONNECTOR MINIWEDGE GRD NO. 6 TO 6 AWG</t>
  </si>
  <si>
    <t>CONNECTOR GRD 5/8" GRD ROD TO#6AWG</t>
  </si>
  <si>
    <t>MOLDING "H" CONDUIT 3M LENGTH (ZIPPER)</t>
  </si>
  <si>
    <t>CONDUIT PVC DB2 100MM SPLIT H-MOLD 3M</t>
  </si>
  <si>
    <t>CORD OPTIC PATCH SM LC-SC 2MM 3M</t>
  </si>
  <si>
    <t>CABLE DROP 2F SM DIEL STR TONE ROUND</t>
  </si>
  <si>
    <t>CONDUIT HDPE 1-1/4" IPS32MM SDR 11 3000M</t>
  </si>
  <si>
    <t>FOSC450-C6-6-NT-0-C3V</t>
  </si>
  <si>
    <t>FAST FIELD-INSTALLABLE CONNECTOR  25/PK</t>
  </si>
  <si>
    <t>KEYQUICK FIELD INSTALLBLE CONNECTR 25/PK</t>
  </si>
  <si>
    <t>CONNECTOR UR2 CARTRIDGE SCOTCHLOK RED</t>
  </si>
  <si>
    <t>CABINET FDH 144F PAD STR F RIB D SCA 31M</t>
  </si>
  <si>
    <t>CABINET FDH 144F PAD STR F RIB D SCA 50M</t>
  </si>
  <si>
    <t>STRAP CABLE SUPPORT 13.5" DELTEC 50/PK</t>
  </si>
  <si>
    <t>STAPLE INSULATED U/W #4 GROUND WIRE</t>
  </si>
  <si>
    <t>PAD PRECASE SAI 4200 SERIES  DRAWING 405074, Sheet 1</t>
  </si>
  <si>
    <t>8 CHANNEL COMPACT CWDM</t>
  </si>
  <si>
    <t>VAULT CONCR1102 STEEL LID H10 NO BOTTOM</t>
  </si>
  <si>
    <t>VAULT CONCR1102 STEEL LID H20 NO BOTTOM</t>
  </si>
  <si>
    <t>UNIT 2902 LPU LINE PROTECTION</t>
  </si>
  <si>
    <t>MUX</t>
  </si>
  <si>
    <t>FOSC-ACC-C-TRAY-RIBN-18</t>
  </si>
  <si>
    <t>MULTIPORT PORT REPL'T KIT</t>
  </si>
  <si>
    <t>CONDUIT PVC SCH40 SPLIT WYE 2"</t>
  </si>
  <si>
    <t>CONDUIT PVC SCH40 SPLIT WYE 2" COUPLERS</t>
  </si>
  <si>
    <t>CONDUIT PVC SCH40 SPLIT WYE 4"</t>
  </si>
  <si>
    <t>CONDUIT PVC SCH40 SPLIT WYE 4" COUPLERS</t>
  </si>
  <si>
    <t>MULTIPORT 12FIBRE SCAPC TAIL NO CON 30M</t>
  </si>
  <si>
    <t>MULTIPORT 12FIBRE SCAPC TAIL NO CON 100M</t>
  </si>
  <si>
    <t>MULTIPORT 12FIBRE SCAPC TAIL NO CON 150M</t>
  </si>
  <si>
    <t>MULTIPORT 12FIBRE SCAPC TAIL NO CON 250M</t>
  </si>
  <si>
    <t>MULTIPORT 12FIBRE SCAPC TAIL NO CON 350M</t>
  </si>
  <si>
    <t>MULTIPORT 12FIBRE SCAPC TAIL NO CON 500M</t>
  </si>
  <si>
    <t>MULTIPORT 12FIBRE SCAPC TAIL NO CON 650M</t>
  </si>
  <si>
    <t>MULTIPORT 6FIBRE SCAPC TAIL NO CON 30M</t>
  </si>
  <si>
    <t>MULTIPORT 6FIBRE SCAPC TAIL NO CON 100M</t>
  </si>
  <si>
    <t>MULTIPORT 6FIBRE SCAPC TAIL NO CON 150M</t>
  </si>
  <si>
    <t>MULTIPORT 6FIBRE SCAPC TAIL NO CON 250M</t>
  </si>
  <si>
    <t>MULTIPORT 6FIBRE SCAPC TAIL NO CON 350M</t>
  </si>
  <si>
    <t>MULTIPORT 6FIBRE SCAPC TAIL NO CON 500M</t>
  </si>
  <si>
    <t>MULTIPORT 6FIBRE SCAPC TAIL NO CON 650M</t>
  </si>
  <si>
    <t>MULTIPORT 8FIBRE SCAPC TAIL NO CON 30M</t>
  </si>
  <si>
    <t>MULTIPORT 8FIBRE SCAPC TAIL NO CON 100M</t>
  </si>
  <si>
    <t>MULTIPORT 8FIBRE SCAPC TAIL NO CON 150M</t>
  </si>
  <si>
    <t>MULTIPORT 8FIBRE SCAPC TAIL NO CON 250M</t>
  </si>
  <si>
    <t>MULTIPORT 8FIBRE SCAPC TAIL NO CON 350M</t>
  </si>
  <si>
    <t>MULTIPORT 8FIBRE SCAPC TAIL NO CON 500M</t>
  </si>
  <si>
    <t>MULTIPORT 8FIBRE SCAPC TAIL NO CON 650M</t>
  </si>
  <si>
    <t>MULTIPORT 12FIBRE SCAPC TAIL NO CON 15M</t>
  </si>
  <si>
    <t>MULTIPORT 6FIBRE SCAPC TAIL NO CON 15M</t>
  </si>
  <si>
    <t>MULTIPORT 8FIBRE SCAPC TAIL NO CON 15M</t>
  </si>
  <si>
    <t>CABLE TIE MOUNTING PLATE LARGE BLACK/25P</t>
  </si>
  <si>
    <t>8 X 3/4 SELF DRILLING SCREWS 100/BX</t>
  </si>
  <si>
    <t>DROP 1F DIEL SCAPC-STUB  50M AFL</t>
  </si>
  <si>
    <t>DROP 1F DIEL SCAPC-STUB  100M AFL</t>
  </si>
  <si>
    <t>DROP 1F DIEL SCAPC-STUB 150M AFL</t>
  </si>
  <si>
    <t>DROP 1F DIEL SCAPC-STUB 200M AFL</t>
  </si>
  <si>
    <t>DROP 1F DIEL SCAPC-STUB 300M AFL</t>
  </si>
  <si>
    <t>DROP 1F DIEL SCAPC-STUB 450M AFL</t>
  </si>
  <si>
    <t>DROP 1F DIEL SCAPC-STUB 400M AFL</t>
  </si>
  <si>
    <t>DROP WIRE HOOK</t>
  </si>
  <si>
    <t>GROUND WIRE ANTI-THEFT CABLE #4 AWG 250 FT</t>
  </si>
  <si>
    <t>FOSC-ACC-C-TRAY-24    2/BX</t>
  </si>
  <si>
    <t>Rounding Value</t>
  </si>
  <si>
    <t>Order Qty</t>
  </si>
  <si>
    <t>Build Type:</t>
  </si>
  <si>
    <t>P700 FTTH ENCLOSURE</t>
  </si>
  <si>
    <t>CLAMP PIPE MAST 1 1/2" TO 3"</t>
  </si>
  <si>
    <t>CONDUIT COUPLER 4" IPS TO 100MM DB2 COMP</t>
  </si>
  <si>
    <t>VAULT 1.2M X 1.2M C/W CIRCULAR OPENING</t>
  </si>
  <si>
    <t>CONDUIT 100 MM FIBERGLASS REINFORCED</t>
  </si>
  <si>
    <t>#14 2" HEX WSH ROOF SCW C/W W/WASH 100PK</t>
  </si>
  <si>
    <t>CLOSURE SG-4 PEDESTAL OUTSIDE GREEN</t>
  </si>
  <si>
    <t>Zebra Multiport Mounting Bracket</t>
  </si>
  <si>
    <t>OCTAGON BOX RACKING ZEBRA BAR</t>
  </si>
  <si>
    <t>ZEBRA RACKING BAR 5/8"X5/8" X32"</t>
  </si>
  <si>
    <t>SCREW WOOD #8 X 1IN RD HD RBRTSN</t>
  </si>
  <si>
    <t>TERMINAL 3M RA 3" SLIC C/W 10 PR IDC BLK</t>
  </si>
  <si>
    <t>LOCKINGHEAD FOR DELTEC CABLE STRAP/25PK</t>
  </si>
  <si>
    <t>FAK-MULDRP-45-4W-DRP</t>
  </si>
  <si>
    <t>ROD GROUND COPPERWELD 3/4" X 10'</t>
  </si>
  <si>
    <t>CONNECTOR LUG 1 HOLE 6MM</t>
  </si>
  <si>
    <t>SEALANT DUCTSEAL GREY (1LB)</t>
  </si>
  <si>
    <t>SCREW WOOD #8 X 3/4 RD HD RBRTSN</t>
  </si>
  <si>
    <t>CLOSURE DROP AERIAL 2PR</t>
  </si>
  <si>
    <t>KIT CABLE SEALING FOR FOSC 400/WRAPAROUN</t>
  </si>
  <si>
    <t>FILTER INDUCED VOLT W/BRACKET (NORSCAN)</t>
  </si>
  <si>
    <t>REPLACEMENT BLADES FOR F0D 2000 25/pk</t>
  </si>
  <si>
    <t>FIBRE DROP MANAGEMENT BRACKETS 10PK=1CA</t>
  </si>
  <si>
    <t>CORD OPTICAL PATCH SM LC-LC 1.2MM 6M</t>
  </si>
  <si>
    <t>CORD OPTICAL PATCH SM LC-LC 1.2MM 8M</t>
  </si>
  <si>
    <t>CORD OPTICAL PATCH SM LC-LC 1.2MM 5M</t>
  </si>
  <si>
    <t>DROP 1F OPTITAP I/O DIEL SCA-STUB 600M</t>
  </si>
  <si>
    <t>BOLT LAG 5/16 X 2 1/2" PLATED</t>
  </si>
  <si>
    <t>BOLT MACHINE 3/4" X 10" GALV C/W NUT</t>
  </si>
  <si>
    <t>DROP 2F RUGGED SM I/O BLK 457M/BX</t>
  </si>
  <si>
    <t>LUG 2HOLE #6AWG 1/4HOLE ON 5/8 CENTER</t>
  </si>
  <si>
    <t>6 PSTN FIBRE BRACKET W/4 SC-APC ADAPTER</t>
  </si>
  <si>
    <t>HOOK CABLE 1 - 1/2" X 10"</t>
  </si>
  <si>
    <t>4.8MM CLIPS FOR USE WITH BIF</t>
  </si>
  <si>
    <t>PANEL CABLE ACCESS WHT 6IN X 9IN HINGED</t>
  </si>
  <si>
    <t>BASKET BUFFER TUBE 400 B2/B4  450 BS/B6</t>
  </si>
  <si>
    <t>ZEBRA RACKING BAR 5/8"X5/8" X10"</t>
  </si>
  <si>
    <t>CONDUIT PVC DB2 100MM CAP GREY</t>
  </si>
  <si>
    <t>CONDUIT PVC DB2 100MM TO IPS SC40 COUP G</t>
  </si>
  <si>
    <t>GUARD CABLE 2 1/4" X 8' WITHOUT FLANGE</t>
  </si>
  <si>
    <t>CONDUIT HDPE 4"IPS 100MM  FUSION COUPLER</t>
  </si>
  <si>
    <t>CONDUIT PVC RIG SCH 40 2" BD90DEG9.5"R G</t>
  </si>
  <si>
    <t>C-LOK FOR #4 THEFT DETERRENT GROUND WIRE</t>
  </si>
  <si>
    <t>CORD OPTIC PATCH SM SCA-SCA 2MM ZIP 1M</t>
  </si>
  <si>
    <t>CONDUIT PVC DB2 50MM TO SCH 40 COUPLER</t>
  </si>
  <si>
    <t>CONDUIT PVC DB2 100MM TO 50MM REDR COUPL</t>
  </si>
  <si>
    <t>HOOK CABLE RACK 490MM 19 1/4" MH SUPPORT</t>
  </si>
  <si>
    <t>TAPCON 3/16 X 2-1/4 CONCRETE 100/BX</t>
  </si>
  <si>
    <t>CONCRETE CARBIDE TIP BIT 5/32 X 4-1/2</t>
  </si>
  <si>
    <t>CORD OPTIC PATCH SM SCA-LC 2MM ZIP 3M</t>
  </si>
  <si>
    <t>GUARD CABLE FIBREGLASS 2.5M COVER 3WAY</t>
  </si>
  <si>
    <t>CONDUIT 1-1/4" IPS(32MM) FLEX CAPS</t>
  </si>
  <si>
    <t>TAG 2 X 2 1/2IN CABLE PLASTIC 100/PK</t>
  </si>
  <si>
    <t>CLAMP GROUND ROD 3/4' #2-10</t>
  </si>
  <si>
    <t>SMALL CAUTION FIBRE 4" X 1.375"</t>
  </si>
  <si>
    <t>CABINET FIBRE SPLICE OSE-UHD 5184/6912</t>
  </si>
  <si>
    <t>CABLE ENTRY KIT 1.380 TO 1.5 SILVER GREY</t>
  </si>
  <si>
    <t>CONDUIT PVC DB2 50MM BD 22.5DEG0.91M R O</t>
  </si>
  <si>
    <t>FOSC600-D4B-NT-0-D4V</t>
  </si>
  <si>
    <t>FOSC600-GELSEAL-3-G</t>
  </si>
  <si>
    <t>FOSC600-GELSEAL-4-G</t>
  </si>
  <si>
    <t>FOSC600-AERIAL-BRCKT-BP</t>
  </si>
  <si>
    <t>POLE FULLY TREATED CL 4 12.19M 40'</t>
  </si>
  <si>
    <t>WYE SPLIT 100MM FOR EB1 DB2</t>
  </si>
  <si>
    <t>POLE FULLY TREATED CL 1 9.14M 30'</t>
  </si>
  <si>
    <t>POLE FULLY TREATED CL 1 10.67M 35'</t>
  </si>
  <si>
    <t>POLE FULLY TREATED CL 1 12.19M 40'</t>
  </si>
  <si>
    <t>POLE FULLY TREATED CL 2 9.14M 30'</t>
  </si>
  <si>
    <t>POLE FULLY TREATED CL 2 15.24M 50'</t>
  </si>
  <si>
    <t>POLE FULLY TREATED CL 3 7.62M (25')</t>
  </si>
  <si>
    <t>POLE FULLY TREATED CL 4 9.14M 30'</t>
  </si>
  <si>
    <t>POLE FULLY TREATED CL 5 9.14M 30'</t>
  </si>
  <si>
    <t>CABLE FIBRE 432F SM SP SPIDERWEBRIB AFL</t>
  </si>
  <si>
    <t>CABLE FIBRE 288F SM SP SPIDERWEBRIB AFL</t>
  </si>
  <si>
    <t>CABLE FIBRE 864F SM SP SPIDERWEBRIB AFL</t>
  </si>
  <si>
    <t>CABLE FIBRE 144F SM SP SPIDERWEBRIB AFL</t>
  </si>
  <si>
    <t>CABLE FIBRE 96F SM SP SPIDERWEBRIB AFL</t>
  </si>
  <si>
    <t>CABLE FIBRE 48F SM SP SPIDERWEBRIB AFL</t>
  </si>
  <si>
    <t>CABLE FIBRE 1728F SM SP SPIDERWEBRIB AFL</t>
  </si>
  <si>
    <t>CABLE FIBRE 1728F SM SP DRY RIB LT</t>
  </si>
  <si>
    <t>CONDUIT PVC DB2 UV 100MM STR 6M</t>
  </si>
  <si>
    <t>CONDUIT PVC RIG SCH 40 4" CAP</t>
  </si>
  <si>
    <t>CONDUIT PVC DB2 100MM-IPS SC40 COUPL12"G</t>
  </si>
  <si>
    <t>CONDUIT PVC DB2 50MM BD 45DEG 0.91M R G</t>
  </si>
  <si>
    <t>CONDUIT PVC DB2 75MM BD 22.5DEG0.91M R G</t>
  </si>
  <si>
    <t>CONDUIT PVC DB2 75MM BD 45DEG0.91M R O</t>
  </si>
  <si>
    <t>CONDUIT PVC DB2 75MM BD 90DEG 0.91M R O</t>
  </si>
  <si>
    <t>CONDUIT PVC DB2 75MM BELL END</t>
  </si>
  <si>
    <t>CONDUIT PVC DB2 75MM COUPLING</t>
  </si>
  <si>
    <t>CONDUIT PVC DB2 75MM STR 6M OR</t>
  </si>
  <si>
    <t>CONDUIT 100 MM DOUBLE BELL COUPLING</t>
  </si>
  <si>
    <t>CONDUIT 50 MM DOUBLE BELL COUPLING</t>
  </si>
  <si>
    <t>CONDUIT 50 MM FIBREGLASS REINFORCED</t>
  </si>
  <si>
    <t>HOOK CABLE RACK 350MM 13 3/4" MH SUPPORT</t>
  </si>
  <si>
    <t>GUARD 3" (75MM) SCH 40 10' LENGTHS</t>
  </si>
  <si>
    <t>CABLE STRAIN RELIEF OSE-UHD 0.4"-1.0"</t>
  </si>
  <si>
    <t>CABLE STRAIN RELIEF OSE-UHD 0.6"-1.5"</t>
  </si>
  <si>
    <t>RACK 18R1037 37 HOLE CABLE UNDERGROUND</t>
  </si>
  <si>
    <t>BAR  SG-6 PEDESTAL GRD</t>
  </si>
  <si>
    <t>BAR SG4 PEDESTAL GRD</t>
  </si>
  <si>
    <t>SC RED DUST CAPS</t>
  </si>
  <si>
    <t>AUDIT TAG WITH WRITE PANEL RED 100/BAG</t>
  </si>
  <si>
    <t>WYE SPLIT 75MM FOR EB1 DB2</t>
  </si>
  <si>
    <t>TAG FIBRE OPTIC CABLE WARNING - Buried (yellow) PK 50</t>
  </si>
  <si>
    <t>TAG FIBRE OPTIC CABLE WARNING - Aerial (black) PK 100</t>
  </si>
  <si>
    <t>CONCRETE INSERT 1/4 X 1 1/4 -BOX50</t>
  </si>
  <si>
    <t>TAPE, MOISTURE SENSOR, 60", PK/5</t>
  </si>
  <si>
    <t>CONDUIT PVC RIG SCH 40 2" CAP</t>
  </si>
  <si>
    <t>CONDUIT PVC RIG SCH 40 2" STR 20FT GREY</t>
  </si>
  <si>
    <t>ANCHOR SCREW TRIPLE-HELIX 10-12-14"</t>
  </si>
  <si>
    <t>LEAD SECTION 1.5" SQ SHAFT 7'</t>
  </si>
  <si>
    <t>GUY ATTACHMENT FOR 1.5" SQ SHAFT 18"</t>
  </si>
  <si>
    <t>DEADEND  1/4"</t>
  </si>
  <si>
    <t>TAPCON 3/16 X 2-1/4 CONCRETE, HEX HEAD, PHILLIPS - 100/BX</t>
  </si>
  <si>
    <t>FOSC-ACC-450-AERIAL-CLAMPS, Clamps, Hardware Kit</t>
  </si>
  <si>
    <t>PRIMEX INVISILITE BOX</t>
  </si>
  <si>
    <t>T-DUX-16 INSTALLATION TOOL KIT</t>
  </si>
  <si>
    <t>HEAT SHIRINK, TUBE, FLEXIBLE, CPX100-1/2" 60M REEL, BLACK, 200'/SPOO</t>
  </si>
  <si>
    <t>DUCT STREETLIGHT HDPE GREEN FIBERTEL 32MM 1000M/REEL</t>
  </si>
  <si>
    <t>COUPLER PUSH-LOCK 1.25 ORANGE FITS 1.66 OD 20001845</t>
  </si>
  <si>
    <t>CONDUIT PVC RIG SCH 40 4" STR 20FT GREY</t>
  </si>
  <si>
    <t>CABLE DROP 2F SM DIEL STR TONE ROUND WR (SE)</t>
  </si>
  <si>
    <t>Cable U/G 4x24 Cat5E PEPJ200M</t>
  </si>
  <si>
    <t>CLIP WIRE LOCKING PLASTIC for 4pair in RA</t>
  </si>
  <si>
    <t>CLAMP CABLE GRIP (4PR DROP) 50/BAG</t>
  </si>
  <si>
    <t>6 - 11 buried cable closure Buried Splice</t>
  </si>
  <si>
    <t>CABLE CELFIL 6PR 22GA 200M HAND COIL U/G Cable</t>
  </si>
  <si>
    <t>WIRE 6PR 22GA AERIAL DROP 122M/COIL</t>
  </si>
  <si>
    <t>WIRE 4PR 22GA AERIAL DROP 100M pop box</t>
  </si>
  <si>
    <t>Wire 2pr 22ga Aerial Drop 200M Pop Box</t>
  </si>
  <si>
    <t>CABLE DROP JR 1F SM DIEL STR NT 1100M/SP - SPOOL</t>
  </si>
  <si>
    <t>CABLE DROP JR 1F SM DIEL STR NT /M 1100M</t>
  </si>
  <si>
    <t>CONNECTOR SCOTCHLOK 19-26GA WIRE 100/PK</t>
  </si>
  <si>
    <t>TRACER WIRE - 20 AWG, BLUE JACKETED</t>
  </si>
  <si>
    <t>CONDUIT HDPE 2"IPS 50MMX1000M SDR9 OR</t>
  </si>
  <si>
    <t>G6 GREEN HORNET FOSC 6" BASE - PEAK</t>
  </si>
  <si>
    <t>GREEN HORNET GROMMET 4.77-6.35MM DUEL</t>
  </si>
  <si>
    <t>GREEN HORNET GROMMET 4.78-6.35MM SINGLE</t>
  </si>
  <si>
    <t>GREEN HORNET GROMMET 6.35-7.92MM</t>
  </si>
  <si>
    <t>GREEN HORNET GROMMET 10.16MM-27.9MM OVAL</t>
  </si>
  <si>
    <t>GREEN HORNET GROMMET 7.6-17.8MM BRANCH</t>
  </si>
  <si>
    <t>GREEN HORNET AERIAL HANGER KIT</t>
  </si>
  <si>
    <t>GREEN HORNET SPLICE TRAY G6&amp;G9 CLOSURE</t>
  </si>
  <si>
    <t>COMPACT DWDM 40CH MUX FDH FOR CABINET</t>
  </si>
  <si>
    <t>COMPACT DWDM 40CH DEMUX FOR FDH CABINET</t>
  </si>
  <si>
    <t>MOUNTING BRACKET FOR CORNING CABINET</t>
  </si>
  <si>
    <t>CABLE TIE MOUNTING PLATE BLACK #10, 100/PK</t>
  </si>
  <si>
    <t>CABLE TIE MOUNTING PLATE MOUNT WITH #10, 100/PK, WHITE</t>
  </si>
  <si>
    <t>MULE TAPE 500LBS NON-DETECTABLE 1000M</t>
  </si>
  <si>
    <t>FLOWER POT 9" CIR VAULT GREEN T-LID LOCATE (use after JUL 2020)</t>
  </si>
  <si>
    <t>M</t>
  </si>
  <si>
    <t>30M SM FIBER FOR RRU3931E</t>
  </si>
  <si>
    <t>ZEBRA FIBRE DROP CLOSURE</t>
  </si>
  <si>
    <t>$/UoM</t>
  </si>
  <si>
    <t>$ Total</t>
  </si>
  <si>
    <t>N/A</t>
  </si>
  <si>
    <t>TAPE, REPLACEMENT, WHITE, FOR CLETOP</t>
  </si>
  <si>
    <t>CONNECTOR PIC-A-BOND 22/26GA GRN</t>
  </si>
  <si>
    <t>CONNECTOR PIC-A-BOND 22/26GA PUR</t>
  </si>
  <si>
    <t>CONNECTOR PIC-A-BOND 19/24GA RED</t>
  </si>
  <si>
    <t>CAP 4014-3M PRIORITY MS2 120/BX</t>
  </si>
  <si>
    <t>CAP VALVE METAL</t>
  </si>
  <si>
    <t>CONNECTOR SPLIT BOLT 8AWG-4AWG (BURNDY)</t>
  </si>
  <si>
    <t>CONNECTOR SHIELD CABLE 50/BX</t>
  </si>
  <si>
    <t>CONNECTOR SPLIT BOLT 8AWG-6AWG</t>
  </si>
  <si>
    <t>CABINET FEEDTHROUGH SEALS 14-25MM CFTS-3</t>
  </si>
  <si>
    <t>CONNECTOR MODULE MINI HALF TAP DAY</t>
  </si>
  <si>
    <t>CONNECTOR C4000 BOND</t>
  </si>
  <si>
    <t>CONNECTOR 25X OUTDOOR BIX GREY</t>
  </si>
  <si>
    <t>LOAD COIL-B152 01 656B 66MH SINGLE</t>
  </si>
  <si>
    <t>LOAD COIL-770-0025 66MH SP 15' D-ENCAP</t>
  </si>
  <si>
    <t>LOAD COIL-770-0050/656-66MH SP 15' D-ENC</t>
  </si>
  <si>
    <t>LOAD COIL-770-0100/656-66MH SP 15' D-ENC</t>
  </si>
  <si>
    <t>CONNECTOR 54720 C-TAP BROWN</t>
  </si>
  <si>
    <t>TAPE 25MM PINK PLASTIC FLAGGING</t>
  </si>
  <si>
    <t>KIT BINDER IDENT. CANVAS C/W MARKERS</t>
  </si>
  <si>
    <t>KIT BINDER IDENTIFICATION C/W</t>
  </si>
  <si>
    <t>1407 EMS BALL MARKER</t>
  </si>
  <si>
    <t>PROTECTOR 400V 1/2"SCREW ARRESTOR</t>
  </si>
  <si>
    <t>SIGN BURIED CABLE DIAL-B-F-U DIG FOR AB</t>
  </si>
  <si>
    <t>TAPE DR 2IN X 15FT</t>
  </si>
  <si>
    <t>TAPE 3/4" X 36YD FIBREGLASS 5LB</t>
  </si>
  <si>
    <t>TAPE 19MM RED WARNING</t>
  </si>
  <si>
    <t>TAPE 19MM YELLOW WARNING</t>
  </si>
  <si>
    <t>MARKER CABLE #2 ORANGE/WHITE</t>
  </si>
  <si>
    <t>MARKER CABLE #3 GREEN-WHITE</t>
  </si>
  <si>
    <t>MARKER CABLE #4 BROWN-WHITE</t>
  </si>
  <si>
    <t>MARKER CABLE #5 SLATE-WHITE</t>
  </si>
  <si>
    <t>MARKER CABLE #6 BLUE-RED</t>
  </si>
  <si>
    <t>MARKER CABLE #7 ORANGE-RED</t>
  </si>
  <si>
    <t>MARKER CABLE #8 GREEN-RED</t>
  </si>
  <si>
    <t>MARKER CABLE #9 BROWN-RED</t>
  </si>
  <si>
    <t>MARKER CABLE #10 SLATE/RED</t>
  </si>
  <si>
    <t>MARKER CABLE #11 BLUE-BLACK</t>
  </si>
  <si>
    <t>MARKER CABLE #12 ORANGE-BLACK</t>
  </si>
  <si>
    <t>MARKER CABLE #13 GREEN-BLACK</t>
  </si>
  <si>
    <t>MARKER CABLE #14 BROWN-BLACK</t>
  </si>
  <si>
    <t>MARKER CABLE #15 SLATE-BLACK</t>
  </si>
  <si>
    <t>MARKER CABLE #16 BLUE-YELLOW</t>
  </si>
  <si>
    <t>MARKER CABLE #17 ORANGE-YELLOW</t>
  </si>
  <si>
    <t>MARKER CABLE #18 GREEN-YELLOW</t>
  </si>
  <si>
    <t>MARKER CABLE #19 BROWN-YELLOW</t>
  </si>
  <si>
    <t>MARKER CABLE #20 SLATE-YELLOW</t>
  </si>
  <si>
    <t>MARKER CABLE #21 BLUE-VIOLET</t>
  </si>
  <si>
    <t>MARKER CABLE #22 ORANGE-VIOLET</t>
  </si>
  <si>
    <t>MARKER CABLE #23 GREEN-VIOLET</t>
  </si>
  <si>
    <t>MARKER CABLE #24 BROWN-VIOLET PK/50</t>
  </si>
  <si>
    <t>MARKER CABLE #25 RED NO STRIPES</t>
  </si>
  <si>
    <t>CABLE TIE 8IN C/W EYELET BLACK</t>
  </si>
  <si>
    <t>TAPE 3/4" X 60' FRICTION</t>
  </si>
  <si>
    <t>B-PLUS CROSS-CONNECT WIRE, BLUE/WHITE</t>
  </si>
  <si>
    <t>CONNECTOR BIX1A DISTRIBUTION 25PR</t>
  </si>
  <si>
    <t>MOUNT QMBIX10A 250 PAIR</t>
  </si>
  <si>
    <t>MOUNT BIX10C 50 PAIR</t>
  </si>
  <si>
    <t>CORD 303-1001</t>
  </si>
  <si>
    <t>CONNECTOR SCOTCHLOK UY2</t>
  </si>
  <si>
    <t>CONNECTOR 54505 2-WAY BLUE</t>
  </si>
  <si>
    <t>MARKER CABLE #26 BLACK NO STRIPES PK/50</t>
  </si>
  <si>
    <t>MARKER CABLE #27 YELLOW NO STRIPES PK/50</t>
  </si>
  <si>
    <t>PIGTAIL 005401R3131005M SM FCUPC</t>
  </si>
  <si>
    <t>CONNECTOR CABLE 1/4"-2 HOLE FOR #2AWG</t>
  </si>
  <si>
    <t>PIGTAIL 005801R3131005M SM SCUPC</t>
  </si>
  <si>
    <t>PLATE 055-0000-6010 6 POSITION BULKHEAD</t>
  </si>
  <si>
    <t>FACEPLATE, BLANK</t>
  </si>
  <si>
    <t>KIT PROTECTOR FOR ITT 621 REPEATER</t>
  </si>
  <si>
    <t>KIT PROTECTOR FOR LYNCH REPEATER</t>
  </si>
  <si>
    <t>KIT PROTECTOR FOR LYNCH PCM U/W OW &amp; FL</t>
  </si>
  <si>
    <t>MOUNT SUPPORT 2WAY ADHESIVE BACK</t>
  </si>
  <si>
    <t>BOLT CS52550ZC 1/4"X1/2" HEX HD MACH ZN</t>
  </si>
  <si>
    <t>CLAMP HOSE 9/16 IN TO 1- 1/4 IN</t>
  </si>
  <si>
    <t>CLAMP HOSE 4-1/8 IN TO 7 IN</t>
  </si>
  <si>
    <t>CLAMP HOSE 1.81IN X 2.75IN</t>
  </si>
  <si>
    <t>CLAMP HOSE 3-9/16 INCH TO 4-1/2 INCH</t>
  </si>
  <si>
    <t>CLAMP HOSE 7/16" - 25/32"</t>
  </si>
  <si>
    <t>STRANDVISE GRIP FOR FIG 8 DROP WIRE</t>
  </si>
  <si>
    <t>HOOK SLA62418 18" CABLE</t>
  </si>
  <si>
    <t>NUT 6.35MM 1/4" HEX ZINC</t>
  </si>
  <si>
    <t>PLUG 4047 MS2 JWI TEST PR</t>
  </si>
  <si>
    <t>ROD EPR#1 END PLUG</t>
  </si>
  <si>
    <t>HEATSHRINK SLEEVING 9-43MM (.35"-1.70")</t>
  </si>
  <si>
    <t>HEATSHRINK SLEEVING 15-76MM (.60" -3.0")</t>
  </si>
  <si>
    <t>STRAP 3 GUARD CABLE USTRAP 3 GUARD CABLE U</t>
  </si>
  <si>
    <t>STRAP 5 GUARD CABLE U</t>
  </si>
  <si>
    <t>SCREW LAG 1/2" XÂ  4 1/2" HDG</t>
  </si>
  <si>
    <t>SCREW WOOD #6 X 1/2IN FLAT HEAD</t>
  </si>
  <si>
    <t>SCREW WOOD #6 X 1/2 RD HD ROBERTSON</t>
  </si>
  <si>
    <t>SCREW WOOD 6 X 3/4 RD HD ROBERTSON</t>
  </si>
  <si>
    <t>SCREW WD #8 X 1 1/4IN RD HD RBTSN</t>
  </si>
  <si>
    <t>SCREW WOOD #8 X 3 1/2" FH ROBERTSON</t>
  </si>
  <si>
    <t>SCREW WOOD #16 X 3" FH ROBERTSON</t>
  </si>
  <si>
    <t>SCREW #8 X 5/8IN SELF TAP RBRTSN</t>
  </si>
  <si>
    <t>SCREW SHEET METAL #8 X 1/2" PAN HEAD SOC</t>
  </si>
  <si>
    <t>SCREW SPQ1075C 10X3/4"SELFTAPPING 100/BX</t>
  </si>
  <si>
    <t>HEATSHRINK SLEEVING 30-127MM 1.20"-5.0"</t>
  </si>
  <si>
    <t>SEPARATOR SAC (JWI)</t>
  </si>
  <si>
    <t>TAG CAUTION 300V DC SUBSCRIBER</t>
  </si>
  <si>
    <t>TWINE M30 LACING 500' X 1LB</t>
  </si>
  <si>
    <t>VALVE F PRESSURE TESTING</t>
  </si>
  <si>
    <t>WASHER FW10ZC 10 FLAT 100/BX</t>
  </si>
  <si>
    <t>SPIROBAND SP 1/2 CP</t>
  </si>
  <si>
    <t>RING BIX DISTRIBUTION</t>
  </si>
  <si>
    <t>TERMINAL RING 1/4" 10-12GA INS 100/BX</t>
  </si>
  <si>
    <t>BRACKET EP2077 CABLE 5.2</t>
  </si>
  <si>
    <t>FLANGE 843521 PRESSURE ACCESS</t>
  </si>
  <si>
    <t>NUT 1/4"- 20 HEX ZINC BOX/100</t>
  </si>
  <si>
    <t>BOLT 1/4" 20 X 3/4" HEX HEAD 100/BX</t>
  </si>
  <si>
    <t>TERMINAL 10RC-38 STAKON RING BOX/50</t>
  </si>
  <si>
    <t>BOLT 1/4-20 X 1" HEX HEAD BOX/100</t>
  </si>
  <si>
    <t>NUT 1/2" 13 HEX ZINC BOX/50</t>
  </si>
  <si>
    <t>WASHER 1/2" FLAT ZINC 50/BOX</t>
  </si>
  <si>
    <t>BRACKET HANGER OFFSET SLIC CLOSURE/TERMI</t>
  </si>
  <si>
    <t>TERMINAL 14RB-10X STAKON RING BLUE</t>
  </si>
  <si>
    <t>CABLE TIE WRAP 4IN - NATURAL</t>
  </si>
  <si>
    <t>TUBING HEAT SHRINK 1/8" BLACK 4'</t>
  </si>
  <si>
    <t>BOLT 3/8" X 2" LAG BOX/100</t>
  </si>
  <si>
    <t>DUCT NE3X2WH6 PANDUIT WIRING</t>
  </si>
  <si>
    <t>TRAFFIC CONE 457MM (18" ) WEIGHTED</t>
  </si>
  <si>
    <t>CONNECTOR PIC-A-BOND 19/24GA YELLOW</t>
  </si>
  <si>
    <t>HEATSHRINK DAM PBSS-A KIT WPBS A</t>
  </si>
  <si>
    <t>BATTERY C 1.5V</t>
  </si>
  <si>
    <t>BATTERY D 1.5V</t>
  </si>
  <si>
    <t>BATTERY AA 1.5V</t>
  </si>
  <si>
    <t>BATTERY 6V SPRING TOP ALKALINE</t>
  </si>
  <si>
    <t>BAR B2 SG1 PEDESTAL GRD</t>
  </si>
  <si>
    <t>CLOSURE FREE BREATHING (SLIC) 2.5" X 29"</t>
  </si>
  <si>
    <t>CLOSURE FREE BREATHING (SLIC) 5.5" X 32"</t>
  </si>
  <si>
    <t>CLOSURE FREE BREATHING (SLIC) 7.5" X 33"</t>
  </si>
  <si>
    <t>CLOSURE BURIED BUTT SPLICE C2175 2"DIA</t>
  </si>
  <si>
    <t>CLOSURE HEATSHRINK XAGA 12-56MM X 305MM</t>
  </si>
  <si>
    <t>CLOSURE HEATSHRINK XAGA 12-56MM X 533MM</t>
  </si>
  <si>
    <t>CLOSURE HEATSHRINK XAGA 12-56MM X 940MM</t>
  </si>
  <si>
    <t>CLOSURE HEATSHRINK XAGA 28-95MM X 533MM</t>
  </si>
  <si>
    <t>CLOSURE HEATSHRINK XAGA 28-95MM X 940MM</t>
  </si>
  <si>
    <t>CLOSURE HEATSHRINK XAGA 47-135MM X 533MM</t>
  </si>
  <si>
    <t>CLOSURE HEATSHRINK XAGA 9-28MM X 305MM</t>
  </si>
  <si>
    <t>KIT WEATHERSTRIPPING FOR 2700PR SAC BOX</t>
  </si>
  <si>
    <t>RETAINER A0277895 QRE1A GREEN</t>
  </si>
  <si>
    <t>RETAINER A0277896 QRE2A BLUE</t>
  </si>
  <si>
    <t>TRAY 16"ORGANIZER FUSION SPLICEC/W LABEL</t>
  </si>
  <si>
    <t>BATTERY EN22 9V RECT ALKALINE</t>
  </si>
  <si>
    <t>TRAY FOR 12 FIBRE SPLICES (MIN ORDER 2)</t>
  </si>
  <si>
    <t>FIBREMANAGER SPLICE MODULE</t>
  </si>
  <si>
    <t>END PIECE 3 PORT FITS 5.5" SLIC CLOSURE</t>
  </si>
  <si>
    <t>END PC 3PORT FITS 7.6" 9.6" SLIC CLOSURE</t>
  </si>
  <si>
    <t>ROD GROUND GALV 5/8"X 8' PERFECTION TYPE</t>
  </si>
  <si>
    <t>CLOSURE FREE BREATHING (SLIC) 3.5" X 28"</t>
  </si>
  <si>
    <t>CLAMP REPLACEMENT FOR DOME TO BASE SEAL</t>
  </si>
  <si>
    <t>RING SEAL FOR FOSC 400D</t>
  </si>
  <si>
    <t>CLOSURE 8006318 BLACKJACK MODULAR 25PR</t>
  </si>
  <si>
    <t>SWEEP, 4"X90DX60R PVC SPXBE GREY LONG SUPERDUCT</t>
  </si>
  <si>
    <t>SWEEP, 2"X90DX36R PVC SOCXSP TEL 700</t>
  </si>
  <si>
    <t>CEMENT SPLICING C</t>
  </si>
  <si>
    <t>COMPOUND PLUGGING 535 GRAM</t>
  </si>
  <si>
    <t>COUPLING, 5ACS40 4"X5D PVC SW CPLG SUPERDUCT</t>
  </si>
  <si>
    <t>IDEAL 45-162 COAXIAL STRIPPER, UP TO 1/8 INCH</t>
  </si>
  <si>
    <t>KNIFE CABLE SPLICER'S</t>
  </si>
  <si>
    <t>PROTECTOR 400V 7/16" SCREW ARRESTOR</t>
  </si>
  <si>
    <t>KLEIN TOOLS J502-10 JOURNEYMAN PUMP PLIERS, YELLOW AND BLACK</t>
  </si>
  <si>
    <t>KLEIN TOOLS D202-6 STANDARD 6" DIAGONAL CUTTING PLIERS</t>
  </si>
  <si>
    <t>PAINT ORANGE MARKING FLUORESCENT</t>
  </si>
  <si>
    <t>CEMENT HYDRAULIC QUICK PLUG 1.25KG</t>
  </si>
  <si>
    <t>SCREWDRIVER 602-4 4" FLAT TIP 1/4"</t>
  </si>
  <si>
    <t>TAPE 5006-1 NUMBER WHEEL</t>
  </si>
  <si>
    <t>TAPE 5006-2 NUMBER WHEEL</t>
  </si>
  <si>
    <t>TAPE 5006-3 NUMBER WHEEL</t>
  </si>
  <si>
    <t>BIX CONNECTING TOOL</t>
  </si>
  <si>
    <t>TOOL, ROSTRA, PUNCH TOOL</t>
  </si>
  <si>
    <t>TOWEL 250MM X 75MM INDUSTRIAL</t>
  </si>
  <si>
    <t>WHEEL STD-0-9 5006-0-9 NUMBER TAPE DISP</t>
  </si>
  <si>
    <t>LUBRICANT WIRE PULLING</t>
  </si>
  <si>
    <t>PAINT EN-16 GREEN ENAMEL SPRAY</t>
  </si>
  <si>
    <t>GLOVES LEATHER SIZE LARGE UNLINED</t>
  </si>
  <si>
    <t>GLOVES LEATHER SIZE MEDIUM UNLINED</t>
  </si>
  <si>
    <t>SCREWDRIVER 602-6 FLAT TIP 5/16</t>
  </si>
  <si>
    <t>JONARD SDP-2 #2 X 4" PHILLIPS SCREWDRIVER</t>
  </si>
  <si>
    <t>EYEWEAR CLEAR FOR OVERTOP GLASSES</t>
  </si>
  <si>
    <t>CROC BLOC 28%DEET AEROSOL 150G</t>
  </si>
  <si>
    <t>CLIP; U CABLE ALUMINUM, FOR RG-59</t>
  </si>
  <si>
    <t>MARKER WM-BW5 WIRE E-Z CODE POCK</t>
  </si>
  <si>
    <t>COVER, SPLICE TRAY, FIBER, 12"</t>
  </si>
  <si>
    <t>TAPE ELECTRICAL GREY 35 3 138212</t>
  </si>
  <si>
    <t>TWINE POLYPRO SPIRALABND SB240 5250</t>
  </si>
  <si>
    <t>PROBE TEST TMOXS17A</t>
  </si>
  <si>
    <t>TESTER TONE GENERATOR &amp; CONTINUITY</t>
  </si>
  <si>
    <t>BAG 18" X 20" 2 MIL POLY PLAIN</t>
  </si>
  <si>
    <t>TRAY, ORGANIZER, FUSION SPLICE, 12"</t>
  </si>
  <si>
    <t>CLAMP BOND #1 DIAMETER UP TO .8"</t>
  </si>
  <si>
    <t>CLAMP BOND #2 .8 - 1.6" CABLE</t>
  </si>
  <si>
    <t>CLAMP BOND #3 1.6" LARGER CABLE</t>
  </si>
  <si>
    <t>TAPE MARKING FIBRE 3/4" MARKING ORANGE</t>
  </si>
  <si>
    <t>BRIEF RELIEF BR608 URINAL BAG</t>
  </si>
  <si>
    <t>CASE BELT PACK U/W SAFETY EYEWEAR</t>
  </si>
  <si>
    <t>EYEWEAR SAFETY SKYPER CLEAR LENS</t>
  </si>
  <si>
    <t>DECAL BIX BINDING POST RECORD (URBAN)</t>
  </si>
  <si>
    <t>BAR BONDING 25' C/W BLACK PVC JACKET</t>
  </si>
  <si>
    <t>TERMINAL BLOCK 6PR UNPROTD FOR RA'S</t>
  </si>
  <si>
    <t>ADAPTER MOUNT SET MS2</t>
  </si>
  <si>
    <t>DECAL, DEMARCATION, TELUS, 50/PK</t>
  </si>
  <si>
    <t>MARKER VINYL WIRE COUNTS 1 TO 33</t>
  </si>
  <si>
    <t>CABLE TIE &amp; CLAMP .184"X7.8" GREY</t>
  </si>
  <si>
    <t>CABLE TIE .091IN X 3.62IN GREY 100/PK</t>
  </si>
  <si>
    <t>CABLE TIE .187" X 14.1" WHITE 100/PK</t>
  </si>
  <si>
    <t>CABLE TIE .14" X 8" WHITE 100/PK</t>
  </si>
  <si>
    <t>CONNECTOR QCBIX1A4 DISTRIBUTION 25PR</t>
  </si>
  <si>
    <t>KIT CLOSURE FOSC 400B4 12-1-NGV</t>
  </si>
  <si>
    <t>DIRECT TO SITE_MANHOLE&amp;NECK 1.46MX 2.07MX 2.23M TYPE A</t>
  </si>
  <si>
    <t>DIRECT TO SITE_MANHOLE&amp;NECK 1.72MX 3.13MX 2.27M TYPE T</t>
  </si>
  <si>
    <t>DIRECT TO SITE_MANHOLE&amp;NECK 2.18MX 4.05MX 2.31M TYPE A</t>
  </si>
  <si>
    <t>DIRECT TO SITE_MANHOLE BARREL EXTEN'N 300MMH X 1.47M OD</t>
  </si>
  <si>
    <t>SNO-SHOE,TAPBRACKET, STORAGE, SLACK, F/O CABLE, 16" (PAIR)</t>
  </si>
  <si>
    <t>TRAY, SPLICE QNC 24 POSITION</t>
  </si>
  <si>
    <t>COVER FOR QNC TRAY Â€“ PART QFMQNC12Q</t>
  </si>
  <si>
    <t>BAG 26" X 41.5" 5MIL POLY BLACK</t>
  </si>
  <si>
    <t>CLOSURE HEAT SHRINKABLE 4.7" X 30"</t>
  </si>
  <si>
    <t>HARD HAT SAFETY WHITE HAT STYLE C/W LOGO</t>
  </si>
  <si>
    <t>CLEANER HAND TOWELS IN A BUCKET</t>
  </si>
  <si>
    <t>GUARD NTL A0207604 PIN NS19478L 100/PK</t>
  </si>
  <si>
    <t>KIT FOSC ACC D-DOME CONV HAG 200D/400D</t>
  </si>
  <si>
    <t>FLAG CABLE LOCATE 24" PLASTIC STAFF</t>
  </si>
  <si>
    <t>WIRE 4PR 24GA CAT5E BLU IBDN</t>
  </si>
  <si>
    <t>KIT RE-ENTERABLE ENCAPSULENT 1500GM</t>
  </si>
  <si>
    <t>KIT RE-ENTERABLE ENCAPSULENT 750GM</t>
  </si>
  <si>
    <t>CLOSURE SG-1 PEDESTAL OUTSIDE GREEN</t>
  </si>
  <si>
    <t>CLOSURE SG-2 PEDESTAL OUTSIDE GREEN</t>
  </si>
  <si>
    <t>CLOSURE SG-3 PEDESTAL OUTSIDE GREEN</t>
  </si>
  <si>
    <t>1800 PR 24 DCMZ</t>
  </si>
  <si>
    <t>HARNESS #10 THHN/THWN GRD 406MM 16"</t>
  </si>
  <si>
    <t>HARNESS #10 THHN/THWN GROUND 508MM</t>
  </si>
  <si>
    <t>HARNESS #10 THHN/THWN GROUND 203MM (10")</t>
  </si>
  <si>
    <t>CONNECTOR BLUE LUG 3/8" ONE HOLE</t>
  </si>
  <si>
    <t>CONNECTOR BROWN LUG 1/4" ONE HOLE</t>
  </si>
  <si>
    <t>CONNECTOR BLUE LUG #10 ONE HOLE</t>
  </si>
  <si>
    <t>STRIP QS/BIX-20A DESIGNATION</t>
  </si>
  <si>
    <t>DECAL TELUS FOR HARD HAT</t>
  </si>
  <si>
    <t>PIC CUSTOMER MODULE</t>
  </si>
  <si>
    <t>PIC-QNC-BLK BLANK BULKHEAD PLATE</t>
  </si>
  <si>
    <t>REPEATER 91-CS239E-E MINI</t>
  </si>
  <si>
    <t>CORD OPTICAL PATCH SM FC-FC 2MM ZIP 1M</t>
  </si>
  <si>
    <t>CORD OPTICAL PATCH SM SC-SC 2MM ZIP 3M</t>
  </si>
  <si>
    <t>CORD OPTICAL PATCH SM SC-SC 2MM ZIP 7M</t>
  </si>
  <si>
    <t>FOSC-ACC-T-TUBE RIBN-50'</t>
  </si>
  <si>
    <t>HEX NUT 5/8-11 PLTD GR 5 25/BX</t>
  </si>
  <si>
    <t>HOUSING PROTECTOR 1PR C/W ONE 356 PROT</t>
  </si>
  <si>
    <t>RIBBON SPLICE MODULE CORNING VSC</t>
  </si>
  <si>
    <t>UNIVERSAL GROUND CLAMP WITH CLIP NUT 9"</t>
  </si>
  <si>
    <t>DIRECT TO SITE_MANHOLE NECK EXTEN'N 970MM KIT</t>
  </si>
  <si>
    <t>LINE TERMINATING UNIT (ZERO K) NORSCAN</t>
  </si>
  <si>
    <t>CORD OPTICAL PATCH SM FC-SC 2MM 3M</t>
  </si>
  <si>
    <t>CORD OPTICAL PATCH SM SC-SC 2MM 3M</t>
  </si>
  <si>
    <t>PIGTAIL, SC/UPC SIMPLEX SM, SMF, 1 F, RISER, 5 METERS</t>
  </si>
  <si>
    <t>CORD OPTICAL PATCH SM FC-SC 2MM ZIP 1M</t>
  </si>
  <si>
    <t>CABLE FIBRE 12F STUB 12-SC 200M</t>
  </si>
  <si>
    <t>CORD FIBRE PATCH SL SC-SC SM 5.5M P11</t>
  </si>
  <si>
    <t>CORD FIBRE PATCH SL/SC-VT/FC SM 5.5M P11</t>
  </si>
  <si>
    <t>CORD FIBRE PATCH SL/SC-VT/FC SM 7M P16</t>
  </si>
  <si>
    <t>FLAG CABLE LOCATE 24" WIRE STAFF</t>
  </si>
  <si>
    <t>LABEL BIX/GIGABIX LABELFLEX SYS GRN</t>
  </si>
  <si>
    <t>LABEL BIX/GIGABIX LABELFLEX SYS BLU</t>
  </si>
  <si>
    <t>CAP CABLE END COLD SHRINK</t>
  </si>
  <si>
    <t>CAP CABLE END COLD SHRINK EC-1</t>
  </si>
  <si>
    <t>MARKER VINYL WIRE COUNTS 150 TO 174</t>
  </si>
  <si>
    <t>MARKER VINYL WIRE COUNTS 175 TO 199</t>
  </si>
  <si>
    <t>PLATE FIBRE BULKHEAD ADAPTER UNIVERSAL</t>
  </si>
  <si>
    <t>ADAPTER STRIP FIBRE W/6-SC SM SLV</t>
  </si>
  <si>
    <t>MODULE FOSC 200D SPLICE INSERT</t>
  </si>
  <si>
    <t>CAP RED WIREWRAP TERM PIN PROT 545-1137</t>
  </si>
  <si>
    <t>CLEANER LENS TOWELETTE - EYEWEAR</t>
  </si>
  <si>
    <t>REPEATER 1239-01TS ENCAPSULATED</t>
  </si>
  <si>
    <t>FIBRE SPLICE PROTECTION SLEEVE 42MM</t>
  </si>
  <si>
    <t>SCRAP FIBRE CONTAINER 3.5Â€ WIDE MOUTH PLASTIC CONTAINER</t>
  </si>
  <si>
    <t>GAUZE PADS 2"X2" FIBRE SPLICING</t>
  </si>
  <si>
    <t>GROUND BAR 1356</t>
  </si>
  <si>
    <t>CORD OPTICAL PIGTAIL SM SC 2MM 3M</t>
  </si>
  <si>
    <t>CONNECTOR BLUE 3/8" TWO HOLE FOR 6 WIRE</t>
  </si>
  <si>
    <t>SCREW GROUND 1/2 SELF TAPPING</t>
  </si>
  <si>
    <t>ATTENUATOR IN LINE SM LC/UPC 5DB</t>
  </si>
  <si>
    <t>SINGLEMODE ATTENUATOR, LC/UPC, 1310/1550, 10DB</t>
  </si>
  <si>
    <t>CABLE, 24F, INDOOR/OUTDOOR, LOOSE TUBE, NON-ARMOUR, RISER (FT4)</t>
  </si>
  <si>
    <t>CABLE, 48F, INDOOR/OUTDOOR, LOOSE TUBE, NON-ARMOUR, RISER (FT4)</t>
  </si>
  <si>
    <t>GENERIC MAH14X20 PEDESTAL OUTSIDE PARTY</t>
  </si>
  <si>
    <t>CABLE, 288F, RIBBON IN LOOSE TUBE, SM, MASS LINK</t>
  </si>
  <si>
    <t>CABLE, 24F, LOOSE TUBE, 2A, 2J, SM</t>
  </si>
  <si>
    <t>CABLE, 48F, LOOSE TUBE, 2A, 2J, SM</t>
  </si>
  <si>
    <t>CABLE, 96F, LOOSE TUBE, 2A, 2J, SM</t>
  </si>
  <si>
    <t>TERMINAL 25PR C/W/ 5' TAIL &amp; MS2 MOD</t>
  </si>
  <si>
    <t>TERMINAL 5PR C/W 5' TAIL MINI-ROCKER</t>
  </si>
  <si>
    <t>BLOCK IDC 10 PR FOR SLIC</t>
  </si>
  <si>
    <t>PIPE, SPLIT, 100MMX10' DB2 TELUS</t>
  </si>
  <si>
    <t>BOX RURAL WIRE FUSELINK 6PR</t>
  </si>
  <si>
    <t>PLATFORM FUSELINK 6PR C/W MTG SCREWS</t>
  </si>
  <si>
    <t>REEL CLETOP-S REPLACEMENT TAPE WHITE</t>
  </si>
  <si>
    <t>CREAM SKIN PROTECTION PR88 100ML</t>
  </si>
  <si>
    <t>CLOSURE COYOTE COMPOSITE DROP REPAIR</t>
  </si>
  <si>
    <t>BRACKET ESMR FOSC 400D LOWER PORT SMALL</t>
  </si>
  <si>
    <t>BRACKET ESMR FOSC 400D LOWER PORT LARGE</t>
  </si>
  <si>
    <t>BRACKET ESMR FOSC 400D UPPER PORT</t>
  </si>
  <si>
    <t>CAP MEDIUM PROTECTIVE MINIATURE FIBRE</t>
  </si>
  <si>
    <t>COUPLER 38MM (1 1/2") DUCT</t>
  </si>
  <si>
    <t>CLAMP BOND FOR UG DROP</t>
  </si>
  <si>
    <t>LUBRICANT AEROSOL</t>
  </si>
  <si>
    <t>PIGTAIL, CABLE FIBRE, SM, 12F, RISER, RIB, SC, 3M</t>
  </si>
  <si>
    <t>CABLE CLAMP FOR FMT FIBER PANEL 0.25" OS</t>
  </si>
  <si>
    <t>VERTICAL CABLE GUIDE FOR FMT FIBRE PANEL</t>
  </si>
  <si>
    <t>CORD FIBRE PATCH SL/SC-VT/FC 10M P26</t>
  </si>
  <si>
    <t>CORD FIBRE PATCH SL/SC-VT/FC 11.5M P31</t>
  </si>
  <si>
    <t>PANEL FIBRE FBD 48F 1U LC SM RIB</t>
  </si>
  <si>
    <t>PROTECTOR MODULE 5 PIN BAL GAS RED</t>
  </si>
  <si>
    <t>CABLE, 144F, RIBBON IN CENTRAL TUBE, SM, FUSION LINK</t>
  </si>
  <si>
    <t>SHIM KIT (28 SHIMS PER KIT)</t>
  </si>
  <si>
    <t>CONNECTOR 2HOLE 1" #6AWG 1/4" HOLE 50/BX</t>
  </si>
  <si>
    <t>HEAT SHRINK TUBE FOR 2/0-350MCM 8IN BLK</t>
  </si>
  <si>
    <t>FIBRE OPTIC ADAPTER HYBRIDSC(M)-LC(F)SM</t>
  </si>
  <si>
    <t>CABLE FIBRE STUB 12F STUB 12-LC 200M</t>
  </si>
  <si>
    <t>CABLEPRO GTT-7 LOCKING TERMINATOR TOOL 7-INCH LONG</t>
  </si>
  <si>
    <t>TERMINAL 10PR C/W 5'TAIL MINIROCKR</t>
  </si>
  <si>
    <t>FIBRE OPTIC ADAPTER SM FC SCREW MNT</t>
  </si>
  <si>
    <t>CLEANER, CLETOP-SB, W/ WHITE TAPE</t>
  </si>
  <si>
    <t>HOUSING, 2 SLOT, RJ48C/RJ48S</t>
  </si>
  <si>
    <t>J0760 ALCATEL 51B MOUNTING BASE</t>
  </si>
  <si>
    <t>BOLT DOUBLE ARMING 5/8" X 22 GALV</t>
  </si>
  <si>
    <t>FOSC-ACC-D-TRAY-72-KIT</t>
  </si>
  <si>
    <t>CLOSET CONNECTOR HOUSING (CCH), ONE RACK UNIT, HOLDS TWO CCH CONNECTOR PANELS</t>
  </si>
  <si>
    <t>SPLICE TRAY, REDUCED LENGTH, (6) RIBBON OR (12) LOOSE TUBE SPLICE</t>
  </si>
  <si>
    <t>SPLICE TRAY, UNIVERSAL, (6) RIBBON OR (12) LOOSE TUBE FUSION SPLICE</t>
  </si>
  <si>
    <t>UNIVERSAL CABLE CLAMP, CLAMP ONLY</t>
  </si>
  <si>
    <t>B DUCT SEALER QTEL2027 PKG 12</t>
  </si>
  <si>
    <t>MODULE HDSL2 ADTRAN H2TU-R (SPAN POWER)</t>
  </si>
  <si>
    <t>PANEL FIBRE CNP 12F SC SM 1U STR QPAK 2F</t>
  </si>
  <si>
    <t>NIB ASSEMBLED LESS POT SPLITTER</t>
  </si>
  <si>
    <t>CLEANER CLETOP STICK 1.25MM LC 200/BOX</t>
  </si>
  <si>
    <t>PANEL FIBRE FMT 12F 1U SC SM R STR UNIV</t>
  </si>
  <si>
    <t>COUPLER, CONDUIT, 4", STAINLESS STEEL, 8" LENGTH, 4 BOLTS</t>
  </si>
  <si>
    <t>HOUSING 2 PORT SINGLE POST</t>
  </si>
  <si>
    <t>DOUBLER HDSL4 ADTRAN H4R</t>
  </si>
  <si>
    <t>MULTIPORT 4 FIBRE SCAPC TAIL NOCON 400FT</t>
  </si>
  <si>
    <t>TRUMPET PANDUIT BEND RADIUS CONTROL 2"</t>
  </si>
  <si>
    <t>MAGNETIC 2-SLOT WALLMOUNT</t>
  </si>
  <si>
    <t>CONNECTOR, OPTI-SNAP, 250UM ,SC/APC, 25/PK</t>
  </si>
  <si>
    <t>RESPIRATOR 8212 METALFUMES DISPOSABLE</t>
  </si>
  <si>
    <t>GRIP DEADEND PREFORM FIGURE 8 CABLE</t>
  </si>
  <si>
    <t>GRIP DEADEND PREFORM PTD 2PR DROP 200/BX</t>
  </si>
  <si>
    <t>STRAP CA&amp;WIRE SELF LOCKING LT DUTY 100PK</t>
  </si>
  <si>
    <t>CLOSURE HEAT SHRINKABLE 2" X 30"</t>
  </si>
  <si>
    <t>CLOSURE HEAT SHRINKABLE 3.5" X 30"</t>
  </si>
  <si>
    <t>LASER RANGE FINDER TRUPULSE 200 GPON</t>
  </si>
  <si>
    <t>CABLE, 6F, FLAT-DROP, DIELECTRIC, SM</t>
  </si>
  <si>
    <t>LS SERIES 1X32 COUPLER/SPLITTER MODULE W/YELLOW LEG,LS LOCAL CONVERGEN</t>
  </si>
  <si>
    <t>TAG CAUTION COMPOSITE DROP</t>
  </si>
  <si>
    <t>BLACKJACK 50PR DIRECT BURIED CLOSURE</t>
  </si>
  <si>
    <t>FIBRE OPTIC ADAPTER HYBRIDLC(M)-SC(F)SM</t>
  </si>
  <si>
    <t>RESPIRATOR MDX2731N100 SMALL 5/BOX</t>
  </si>
  <si>
    <t>RESPIRATOR MOLDEX 2730N100 MED/LG 5/BOX</t>
  </si>
  <si>
    <t>3" WIRE RETAINER CLIPS FIBERGUIDE 100/BG</t>
  </si>
  <si>
    <t>USOC TEL MODULE WHITE</t>
  </si>
  <si>
    <t>DECAL, TERMINAL LETTERS, BLACK/ORANGE, 1"X 1.5", 10/PK - H</t>
  </si>
  <si>
    <t>DECAL, TERMINAL LETTERS, BLACK/ORANGE, 1"X 1.5", 10/PK - I</t>
  </si>
  <si>
    <t>DECAL, TERMINAL LETTERS, BLACK/ORANGE, 1"X 1.5", 10/PK - J</t>
  </si>
  <si>
    <t>DECAL, TERMINAL LETTERS, BLACK/ORANGE, 1"X 1.5", 10/PK - K</t>
  </si>
  <si>
    <t>DECAL, TERMINAL LETTERS, BLACK/ORANGE, 1"X 1.5", 10/PK - M</t>
  </si>
  <si>
    <t>DECAL, TERMINAL LETTERS, BLACK/ORANGE, 1"X 1.5", 10/PK - N</t>
  </si>
  <si>
    <t>DECAL, TERMINAL LETTERS, BLACK/ORANGE, 1"X 1.5", 10/PK - O</t>
  </si>
  <si>
    <t>DECAL, TERMINAL LETTERS, BLACK/ORANGE, 1"X 1.5", 10/PK - P</t>
  </si>
  <si>
    <t>DECAL, TERMINAL LETTERS, BLACK/ORANGE, 1"X 1.5", 10/PK - Q</t>
  </si>
  <si>
    <t>DECAL, TERMINAL LETTERS, BLACK/ORANGE, 1"X 1.5", 10/PK - R</t>
  </si>
  <si>
    <t>DECAL, TERMINAL LETTERS, BLACK/ORANGE, 1"X 1.5", 10/PK - S</t>
  </si>
  <si>
    <t>DECAL, TERMINAL LETTERS, BLACK/ORANGE, 1"X 1.5", 10/PK - T</t>
  </si>
  <si>
    <t>DECAL, TERMINAL LETTERS, BLACK/ORANGE, 1"X 1.5", 10/PK - U</t>
  </si>
  <si>
    <t>DECAL, TERMINAL LETTERS, BLACK/ORANGE, 1"X 1.5", 10/PK - V</t>
  </si>
  <si>
    <t>DECAL, TERMINAL LETTERS, BLACK/ORANGE, 1"X 1.5", 10/PK - W</t>
  </si>
  <si>
    <t>DECAL, TERMINAL LETTERS, BLACK/ORANGE, 1"X 1.5", 10/PK - X</t>
  </si>
  <si>
    <t>DECAL, TERMINAL LETTERS, BLACK/ORANGE, 1"X 1.5", 10/PK - Y</t>
  </si>
  <si>
    <t>DECAL, TERMINAL LETTERS, BLACK/ORANGE, 1"X 1.5", 10/PK - Z</t>
  </si>
  <si>
    <t>FOSC450-A4-SPLICE CLOSURE</t>
  </si>
  <si>
    <t>HOUSING, CCH, RACK MOUNT, 4U, HOLDS 12 CCH CONNECTOR PANELS</t>
  </si>
  <si>
    <t>PRE-CUT CORNER STRIP - 1" RADIUS</t>
  </si>
  <si>
    <t>FOSC450-D6-REHAB-KIT</t>
  </si>
  <si>
    <t>FUSE LINK BLOCK FOR RA IDC STYLE</t>
  </si>
  <si>
    <t>LUG, TWO-HOLE, LONG BARREL #2 AWG</t>
  </si>
  <si>
    <t>PANEL FIBRE FBD 48F 1U LC SM STR</t>
  </si>
  <si>
    <t>WIRE XCONN 1 PR 24 GA RED/BLACK SOLID</t>
  </si>
  <si>
    <t>SACHS U CABLE CLIP DUAL RG6 ORDMULT400</t>
  </si>
  <si>
    <t>RUST TREATMENT-EXTENDED</t>
  </si>
  <si>
    <t>PANEL FIBRE, MINI WALL, 12F WBM SM SC/UPC, 12F LT PIGTAIL, NO STUB.</t>
  </si>
  <si>
    <t>PANEL FIBRE MIN WBT 6F SC SM STR PTAIL</t>
  </si>
  <si>
    <t>CABLE FIBRE STUB 24F STUB 12-LC 50M</t>
  </si>
  <si>
    <t>SPLICE TRAY, REDUCED LENGTH, DEEP, 12F QNC HOLDER</t>
  </si>
  <si>
    <t>SPRAY NINE CLEANER</t>
  </si>
  <si>
    <t>PANEL FIBRE FBD 24F 1U SC SM STR</t>
  </si>
  <si>
    <t>CABLE TIE TY-RAD ID THOMAS&amp;BETTS TY153M</t>
  </si>
  <si>
    <t>POLE MOUNT TERMINAL 25PR 12FT STUB</t>
  </si>
  <si>
    <t>POLE MOUNT TERMINAL 6PR PLASTIC NO STUB</t>
  </si>
  <si>
    <t>CORD OPTIC PATCH SM SCA-SC 2MM ZIP 2M</t>
  </si>
  <si>
    <t>CORD OPTIC PATCH SM SCA-SC 2MM ZIP 3M</t>
  </si>
  <si>
    <t>CORD OPTIC PATCH SM SCA-SC 2MM ZIP 5M</t>
  </si>
  <si>
    <t>TAGS, CONTACT INFO, FOR CONDUIT</t>
  </si>
  <si>
    <t>ROLL, VELCRO, .33 IN X 15 FT, BLACK</t>
  </si>
  <si>
    <t>COUPLING, 20MM HDPE ELOC</t>
  </si>
  <si>
    <t>CONNECTOR, OPTI-SNAP, 900UM, SC/APC, 25/PK</t>
  </si>
  <si>
    <t>FIBRE OPTIC ADAPTER HYBRIDLC(F)-SC(F)SM</t>
  </si>
  <si>
    <t>DECALS, TERMINAL, LETTERS, BLACK/ORANGE, 1.8"X2.25", 10/PK - L</t>
  </si>
  <si>
    <t>DECALS, TERMINAL, LETTERS, BLACK/ORANGE, 1.8"X2.25", 10/PK - M</t>
  </si>
  <si>
    <t>DECALS, TERMINAL, LETTERS, BLACK/ORANGE, 1.8"X2.25", 10/PK - N</t>
  </si>
  <si>
    <t>DECALS, TERMINAL, LETTERS, BLACK/ORANGE, 1.8"X2.25", 10/PK - O</t>
  </si>
  <si>
    <t>DECALS, TERMINAL, LETTERS, BLACK/ORANGE, 1.8"X2.25", 10/PK - P</t>
  </si>
  <si>
    <t>DECALS, TERMINAL, LETTERS, BLACK/ORANGE, 1.8"X2.25", 10/PK - Q</t>
  </si>
  <si>
    <t>DECALS, TERMINAL, LETTERS, BLACK/ORANGE, 1.8"X2.25", 10/PK - R</t>
  </si>
  <si>
    <t>DECALS, TERMINAL, LETTERS, BLACK/ORANGE, 1.8"X2.25", 10/PK - S</t>
  </si>
  <si>
    <t>DECALS, TERMINAL, LETTERS, BLACK/ORANGE, 1.8"X2.25", 10/PK - T</t>
  </si>
  <si>
    <t>DECALS, TERMINAL, LETTERS, BLACK/ORANGE, 1.8"X2.25", 10/PK - U</t>
  </si>
  <si>
    <t>DECALS, TERMINAL, LETTERS, BLACK/ORANGE, 1.8"X2.25", 10/PK - V</t>
  </si>
  <si>
    <t>DECALS, TERMINAL, LETTERS, BLACK/ORANGE, 1.8"X2.25", 10/PK - W</t>
  </si>
  <si>
    <t>DECALS, TERMINAL, LETTERS, BLACK/ORANGE, 1.8"X2.25", 10/PK - X</t>
  </si>
  <si>
    <t>DECALS, TERMINAL, LETTERS, BLACK/ORANGE, 1.8"X2.25", 10/PK - Y</t>
  </si>
  <si>
    <t>DECALS, TERMINAL, LETTERS, BLACK/ORANGE, 1.8"X2.25", 10/PK - Z</t>
  </si>
  <si>
    <t>TERMINAL BLDG ENT INDR 100PR 3M MOD IN</t>
  </si>
  <si>
    <t>TERMINAL BLDG ENTR 50PR 3M MOD IN STUB</t>
  </si>
  <si>
    <t>TERM BLDG ENT 25 PR BIX IN BIX OUT</t>
  </si>
  <si>
    <t>TERM BLDG ENTR 12PR BIX IN BIX OUT</t>
  </si>
  <si>
    <t>DECALS, TERMINAL, LETTERS, BLACK/ORANGE, 1.8"X2.25", 10/PK - K</t>
  </si>
  <si>
    <t>CABINET FIBRE WSC 24F WALL SPLICE STRAND</t>
  </si>
  <si>
    <t>CABINET FIBRE WSC 24F WALL SPLICE RIB</t>
  </si>
  <si>
    <t>CABINET FIBRE WSC 48F WALL SPLICE STRAND</t>
  </si>
  <si>
    <t>PANEL FIBRE, MINI WALL, 12F WBM SM SCA DROP STUB 50FT</t>
  </si>
  <si>
    <t>PANEL FIBRE, MINI WALL, 12F WBM SM SCA DROP, STUB100FT</t>
  </si>
  <si>
    <t>PANEL FIBRE, MINI WALL, 12F WBM SM SCA DROP STUB150FT</t>
  </si>
  <si>
    <t>PANEL FIBRE, MINI WALL, 12F WBM SM SCA DROP STUB200FT</t>
  </si>
  <si>
    <t>PANEL FIBRE, MINI WALL, 12F WBM SM SCA DROP STUB250FT</t>
  </si>
  <si>
    <t>PANEL FIBRE, MINI WALL, 12F WBM SM SCA DROP STUB 300FT</t>
  </si>
  <si>
    <t>PANEL FIBRE12F WBM SM SCA DROP STUB350FT</t>
  </si>
  <si>
    <t>PANEL FIBRE, MINI WALL, 12F WBM SM SCA DROP STUB 400FT</t>
  </si>
  <si>
    <t>PANEL FIBRE, REDUCED WBT, 12F, SC/APC, SINGLEMODE, 153M (500FT.) PIGTAIL</t>
  </si>
  <si>
    <t>PANEL FIBRE 12F IFDT SM SCA RISER 50FT</t>
  </si>
  <si>
    <t>PANEL FIBRE 12F IFDT SM SCA RISER 100FT</t>
  </si>
  <si>
    <t>PANEL FIBRE 12F IFDT SM SCA RISER 300FT</t>
  </si>
  <si>
    <t>PANEL FIBRE 24F IFDT SM SCA RISER 50FT</t>
  </si>
  <si>
    <t>PANEL FIBRE 24F IFDT SM SCA RISER 100FT</t>
  </si>
  <si>
    <t>PANEL FIBRE 24F IFDT SM SCA RISER 300FT</t>
  </si>
  <si>
    <t>SAFETY VEST LIME YELLOW MESH LG/XL</t>
  </si>
  <si>
    <t>LID NON-SKID ACRYLIC REPLACEMENT</t>
  </si>
  <si>
    <t>J0821 4220DD DSL 900PR DSL CABINET</t>
  </si>
  <si>
    <t>PIGTAIL SC/APC 3M GREEN</t>
  </si>
  <si>
    <t>ENCLOSURE, MOUNT,WALL, FLUSH 125-0571- 30HX14WX3.5D</t>
  </si>
  <si>
    <t>ENCLOSURE, MDU, LID/FRAME, H:30 X W:14 X D:3.5"LOCKABLE, TELUS</t>
  </si>
  <si>
    <t>ADAPTER STRIP, (6) SC/APC LOADED</t>
  </si>
  <si>
    <t>PANEL, CONNECTOR, FDC, 6 PORT, BLANK, NO HOL</t>
  </si>
  <si>
    <t>PLATE, PATCH, ,6 PORT, SC/APC</t>
  </si>
  <si>
    <t>SPLICE TRAY, 12F, C/W Q-PAK</t>
  </si>
  <si>
    <t>CABINET, WALL, SPLICE, 144F CAPACITY, (PSC) PREMISES SPLICE CABINET</t>
  </si>
  <si>
    <t>PIGTAIL, FIBRE, CABLE, 12F, SM, RIB, SCAPC, 3M</t>
  </si>
  <si>
    <t>CORD FIBRE PATCH SLITE SC SC SM 7 0M</t>
  </si>
  <si>
    <t>CORD FIBRE PATCH SLITE SC SC SM 16 0M</t>
  </si>
  <si>
    <t>CORD FIBRE PATCH SLITE SC SC SM 17 5M</t>
  </si>
  <si>
    <t>CORD FIBRE PATCH SL/SC-VT/FC SM 14.5M</t>
  </si>
  <si>
    <t>CORD FIBRE PATCH SL/SC-VT/FC SM 17 5M</t>
  </si>
  <si>
    <t>69T 1 SEALED WIRE TERMINAL</t>
  </si>
  <si>
    <t>CORD FIBRE PATCH SLITE SC SC MM 10.0M</t>
  </si>
  <si>
    <t>CABLE, 432F, RIBBON IN CENTRAL TUBE, 1A, 1J, SM</t>
  </si>
  <si>
    <t>KIT LAT CABLE SHIELD GREEN</t>
  </si>
  <si>
    <t>KIT INLINE POLE MOUNT 4220DD/51B</t>
  </si>
  <si>
    <t>PANEL FIBRE 48F IFDT SM SCA RISER 50FT</t>
  </si>
  <si>
    <t>PANEL FIBRE 48F IFDT SM SCA RISER 100FT</t>
  </si>
  <si>
    <t>PANEL FIBRE 48F IFDT SM SCA RISER 300FT</t>
  </si>
  <si>
    <t>PANEL FIBRE 48F IFDT SM SCA RISER RIBBON CABLE 50FT</t>
  </si>
  <si>
    <t>PANEL FIBRE 48F IFDT SM SCA RISER RIBBON CABLE 100FT</t>
  </si>
  <si>
    <t>PANEL FIBRE 48F IFDT SM SCA RISER RIBBON CABLE 300FT</t>
  </si>
  <si>
    <t>FOSC 450B GEL FIBRE OPTIC SPLICE CLOSURE</t>
  </si>
  <si>
    <t>PIPE, 100MMX6M TYPE II TELUS UV</t>
  </si>
  <si>
    <t>PANEL FIBRE, REDUCED WBT, 12F, SC/APC, SINGLEMODE, 244M (800FT.) PIGTAIL</t>
  </si>
  <si>
    <t>PANEL FIBRE, MINI WALL, 12F WBM SM SCA DROP STUB 900FT</t>
  </si>
  <si>
    <t>PANEL FIBRE, MINI WALL, 12F WBM SM SCA DROP STUB 1000FT</t>
  </si>
  <si>
    <t>PANEL FIBRE 12F IFDT SM SCA RISER 500FT</t>
  </si>
  <si>
    <t>PANEL FIBRE 24F IFDT SM SCA RISER 500FT</t>
  </si>
  <si>
    <t>PANEL FIBRE 48F IFDT SM SCA RISER 500FT</t>
  </si>
  <si>
    <t>PANEL FIBRE 48F IFDT SM SCA RISER RIBBON CABLE 500FT</t>
  </si>
  <si>
    <t>HOOK, HAND 32" FOR HANDHOLE COVER REMOVAL</t>
  </si>
  <si>
    <t>METER BOX GROUND CLAMP</t>
  </si>
  <si>
    <t>CABINET, MDU, WALL MOUNT, ALMOND, 24X24X6, PLYWOOD BACKBOARD</t>
  </si>
  <si>
    <t>3M LETTERING KIT 5005-KIT</t>
  </si>
  <si>
    <t>ELBOW, EE5590 4"X90D PVC STD SPXBE CSA SCEPTER</t>
  </si>
  <si>
    <t>ELBOW, EE5545 4"X45D PVC STD SPXBE SCH40 CSA SCEPTER</t>
  </si>
  <si>
    <t>SWEEP, NSL448 4"X90DX48R PVC SPXBE SCEPTER/KRALOY</t>
  </si>
  <si>
    <t>CABINET IFDH 432F WALL, SC/APC, 48F FEEDER/36F PASS-THRU, LT DISTRIB</t>
  </si>
  <si>
    <t>CABINET IFDH 432F WALL, SC/APC, 48F FEEDER/36F PASS-THRU, RIBBON DIST</t>
  </si>
  <si>
    <t>DUCT, SUB, 40MMX750M HDPE SDR11 ORANGE TELUS CAPPED</t>
  </si>
  <si>
    <t>SPACER, BS5530 4"X1 1/2" BVL SUPERDUCT</t>
  </si>
  <si>
    <t>SPACER, IS5530 4"X1 1/2" IVL SUPERDUCT</t>
  </si>
  <si>
    <t>ADAPTER PANEL, 12F, CCH, SC/APC, SIMPLEX, SINGLE MODE (OS2)</t>
  </si>
  <si>
    <t>PANEL FIBRE 12F IFDT SM SCA RISER 800FT</t>
  </si>
  <si>
    <t>PANEL FIBRE 24F IFDT SM SCA RISER 800FT</t>
  </si>
  <si>
    <t>PANEL FIBRE 48F IFDT SM SCA RISER 800FT</t>
  </si>
  <si>
    <t>PANEL FIBRE 48F IFDT SM SCA RISER RIBBON CABLE 800FT</t>
  </si>
  <si>
    <t>WALLPLATE FLUSH STANDARD 1 PORT WHITE</t>
  </si>
  <si>
    <t>PANEL FIBRE 24F IFDT SM SCA RISER 200FT</t>
  </si>
  <si>
    <t>CORD OPTIC PATCH SM SC/UPC-SC/APC 2MM 1M</t>
  </si>
  <si>
    <t>CORD OPTIC PATCH SM SC/UPC-SC/APC 2MM 2M</t>
  </si>
  <si>
    <t>CONDUIT GRIPPER COUPLER 3/4" 24/BX</t>
  </si>
  <si>
    <t>UNIVERSAL MOUNTING PLATFORM TAPE</t>
  </si>
  <si>
    <t>CONDUIT COUPLR HDPE 1"IPS 25MM MEC 18/CA</t>
  </si>
  <si>
    <t>CLOSET JUMPER STORAGE PANEL F/1 RACK SPA</t>
  </si>
  <si>
    <t>KIT, TELUS SERVICE</t>
  </si>
  <si>
    <t>COUPLING, 3/4" PVC COMPRESSION SHAW</t>
  </si>
  <si>
    <t>CAP, 3/4" PVC TELUS</t>
  </si>
  <si>
    <t>DUCT, SUB, 20MMX600M HDPE SDR13.5 ORANGE TELUS C/W INTERNAL RIBS</t>
  </si>
  <si>
    <t>TREATED POST, WOOD, 4X6X6'</t>
  </si>
  <si>
    <t>DIRECT TO SITE_SERVICE BOX CON 5686 SUPER-IMP FRAME CPT</t>
  </si>
  <si>
    <t>DIRECT TO SITE_SUPER-IMP FRAME NO LID 5686 SERVICE BOX</t>
  </si>
  <si>
    <t>DIRECT TO SITE_SUPER-IMP LID NO FRAME 5686 SERVICE BOX</t>
  </si>
  <si>
    <t>DUCT, SUB, 20MMX3000M HDPE SDR13.5 ORANGE TELUS C/W INTERNAL RIBS</t>
  </si>
  <si>
    <t>CABINET, MDU, WALL MOUNT, ALMOND, 16X16X6, PLYWOOD BACKBOARD</t>
  </si>
  <si>
    <t>VAULT LID 2PIECE 36"X72" TIER15 864F FDH</t>
  </si>
  <si>
    <t>CABINET, MDU, WALL MOUNT, GREY, 16X16X6, PLYWOOD BACKBOARD</t>
  </si>
  <si>
    <t>GLOVES LINESMAN GANDER SZ 9</t>
  </si>
  <si>
    <t>GLOVES LINESMAN GANDER SZ 10</t>
  </si>
  <si>
    <t>GLOVES LINESMAN GANDER SZ 11</t>
  </si>
  <si>
    <t>CORD OPTIC SM SC-SC 2MM LOWTEMP BLK 3M</t>
  </si>
  <si>
    <t>DUCT, SUB, 100MMX400M HDPE SDR13.5 ORANGE TELUS</t>
  </si>
  <si>
    <t>CONNECTOR MS2 4005 MODULE H-TAP FILLED</t>
  </si>
  <si>
    <t>CONNECTOR MS2 4005 MOD. STRSPLCDRY 24/PK</t>
  </si>
  <si>
    <t>CONNECTOR MS2 4000G MOD.MINIFILLED 24/PK</t>
  </si>
  <si>
    <t>CONNECTOR MS2 4005 MODULE H-TAPDRY 24/PK</t>
  </si>
  <si>
    <t>FOSC 400 SPLICE CLOSURE 2 DROP KIT</t>
  </si>
  <si>
    <t>5PR PEDESTAL TERMINAL BLOCK</t>
  </si>
  <si>
    <t>HOUSING, CCH, RACK MOUNT, 2U, HOLDS 4 CCH CONNECTOR PANELS</t>
  </si>
  <si>
    <t>CABLE, 12F, MINI- LOOSE TUBE, NON-ARMOUR, WITH TRA</t>
  </si>
  <si>
    <t>CABLE, 24F, MINI- LOOSE TUBE, NON-ARMOUR, WITH TRACER WIRE</t>
  </si>
  <si>
    <t>CABLE, 48F, MINI- LOOSE TUBE, NON-ARMOUR, WITH TRACER WIRE</t>
  </si>
  <si>
    <t>CABLE, 72F, MINI- LOOSE TUBE, NON-ARMOUR, WITH TRACER WIRE</t>
  </si>
  <si>
    <t>CABLE, 96F, MINI- LOOSE TUBE, NON-ARMOUR, WITH TRACER WIRE</t>
  </si>
  <si>
    <t>PLP ARMADILLO CLOSURE 12.5" X 65"</t>
  </si>
  <si>
    <t>COYOTE IN LINE RUNT CLOSURE</t>
  </si>
  <si>
    <t>COYOTE RUNT SPLICE TRAY</t>
  </si>
  <si>
    <t>COYOTE RUNT 4 HOLE GROMMET</t>
  </si>
  <si>
    <t>CABLE, 144F, MINI- LOOSE TUBE, NON-ARMOUR, WITH TR</t>
  </si>
  <si>
    <t>CORD OPTICAL PATCH SM SC-LC 1.2MM 6M</t>
  </si>
  <si>
    <t>CORD OPTICAL PATCH SM SC-LC 1.2MM 8M</t>
  </si>
  <si>
    <t>CORD OPTICAL PATCH SM SC-LC 1.2MM 9M</t>
  </si>
  <si>
    <t>CORD OPTICAL PATCH SM SC-LC 1.2MM 11M</t>
  </si>
  <si>
    <t>CORD OPTICAL PATCH SM SC-LC 1.2MM 13M</t>
  </si>
  <si>
    <t>CORD OPTICAL PATCH SM LC-LC 1.2MM 1M</t>
  </si>
  <si>
    <t>CORD OPTICAL PATCH SM LC-LC 1.2MM 9M</t>
  </si>
  <si>
    <t>CORD OPTICAL PATCH SM SC-LC 1.2MM 10M</t>
  </si>
  <si>
    <t>CORD OPTICAL PATCH SM SC-SC 1.2MM 5M</t>
  </si>
  <si>
    <t>CORD OPTICAL PATCH SM SC-SC 1.2MM 7M</t>
  </si>
  <si>
    <t>CORD OPTICAL PATCH SM SC-SC 1.2MM 8M</t>
  </si>
  <si>
    <t>CORD OPTICAL PATCH SM SC-SC 1.2MM 9M</t>
  </si>
  <si>
    <t>CORD OPTICAL PATCH SM SC-SC 1.2MM 10M</t>
  </si>
  <si>
    <t>CORD OPTICAL PATCH SM SC-SC 1.2MM 12M</t>
  </si>
  <si>
    <t>CORD OPTICAL PATCH SM SC-SC 1.2MM 15M</t>
  </si>
  <si>
    <t>CORD OPTICAL PATCH SM SC-SC 1.2MM 20M</t>
  </si>
  <si>
    <t>GROUND ROD, COPPER CLAD, 19MM X 3M</t>
  </si>
  <si>
    <t>SPLITTER MOD1X32 IDEAA SCAPC FDH AFL</t>
  </si>
  <si>
    <t>CABLE RING CUTTING TOOL</t>
  </si>
  <si>
    <t>KIT, WALL MODULE, INVISILIGHT, 20M FIBRE SPOOL, SC/APC-SC/APC, ROUTING</t>
  </si>
  <si>
    <t>KIT, WALL MODULE, INVISILIGHT, 30M FIBRE SPOOL, SC/APC-SC/APC, ROUTING</t>
  </si>
  <si>
    <t>KIT, WALL MODULE, INVISILIGHT, 40M FIBRE SPOOL, SC/APC-SC/APC, ROUTING</t>
  </si>
  <si>
    <t>TOOL, INVISILIGHT, DISPENSING, MINI</t>
  </si>
  <si>
    <t>KIT, SUPPLEMENTAL ROUTING, INVISILIGHT</t>
  </si>
  <si>
    <t>KIT, INSTALLER'S TOOL BELT, INVISILIGHT</t>
  </si>
  <si>
    <t>ILU FIBRE REPLACEMENT SPOOL, 20M, SC/APC-SC/APC, INVISILIGHT, (1/PK)</t>
  </si>
  <si>
    <t>SPOOL, FIBRE, 30M, SC/APC-SC/APC, INVISILIGHT, (1/PK)</t>
  </si>
  <si>
    <t>SPOOL, FIBRE, 40M, SC/APC-SC/APC, INVISILIGHT, (1/PK)</t>
  </si>
  <si>
    <t>MODULE, WALL, INVISILIGHT, E/W SC/APC ADAPTER</t>
  </si>
  <si>
    <t>PROTECTOR, INSIDE CORNER, INVISILIGHT, (1000/PK)</t>
  </si>
  <si>
    <t>PROTECTOR, OUTSIDE CORNER, INVISILIGHT, (1000/PK)</t>
  </si>
  <si>
    <t>TOOL, THROUGH WALL, INVISILIGHT (100/PK)</t>
  </si>
  <si>
    <t>ADHESIVE, 30ML TUBE, INVISILIGHT, E/W 1X WHITE &amp; 1X GREEN TIP</t>
  </si>
  <si>
    <t>CWDM 8CH(1471-1611) MUX/DEMUX 1EXP/1310</t>
  </si>
  <si>
    <t>IDC CONNECTOR FOR USE WITH #22, #24, #26 AWG LOCATE WIRE</t>
  </si>
  <si>
    <t>CABINET IFDH 72F WALL LT-FEEDER STUBLESS LT-DISTRIBUTION</t>
  </si>
  <si>
    <t>CABINET IFDH 144F WALL LT-FEEDER STUBLESS LT-DISTRIBUTION</t>
  </si>
  <si>
    <t>CABINET IFDH 288F WALL LT-FEEDER, LT DISTRIBUTION</t>
  </si>
  <si>
    <t>8 X 1-1/2 SELF TAPPING SCREW</t>
  </si>
  <si>
    <t>CABINET IFDH MBDT 32F WALL, LOOSE TUBE PIGTAILS FEEDER, W/ 1-SPLITTER</t>
  </si>
  <si>
    <t>CABINET, IFDH MBDT ADD ON PART TO EXPAND FROM 32F TO 64F W/1 SPLITTER</t>
  </si>
  <si>
    <t>CABINET IFDH MBDT 64F WALL, LOOSE TUBE PIGTAILS FEEDER, W/ 1-SPLITTER</t>
  </si>
  <si>
    <t>CABINET IFDH MBDT 64F WALL, LOOSE TUBE PIGTAILS FEEDER, W/ 2-SPLITTER</t>
  </si>
  <si>
    <t>CABLE, 1F, DROP, YLW, 2.9 MM OD. 1371M/BX</t>
  </si>
  <si>
    <t>CABINET IFDH 72F WALL LT-FEEDER MTP CONNECTORIZED-DISTRIBUTION</t>
  </si>
  <si>
    <t>CABINET IFDH 144F WALL LT-FEEDER MTP CONNECTORIZED-DISTRIBUTION</t>
  </si>
  <si>
    <t>CABINET IFDH 288F WALL LT FEEDER, MTP CONNECTORIZED-DISTRIBUTION</t>
  </si>
  <si>
    <t>JACK, FIBER, KEYSTONE, W/ SHUTTER, SC/APC</t>
  </si>
  <si>
    <t>CORD OPTIC PATCH SM SCA-LC 2MM ZIP 1M</t>
  </si>
  <si>
    <t>CORD OPTIC PATCH SM SCA-LC 2MM ZIP 2M</t>
  </si>
  <si>
    <t>JUMPER, SC/UPC TO SC/UPC, 2F,ZIPCORD RIASER, SM,1 METRE</t>
  </si>
  <si>
    <t>CORD OPTIC PATCH SM SCA-SCA 2MM ZIP 2M</t>
  </si>
  <si>
    <t>CORD OPTIC PATCH SM SCA-SCA 2MM ZIP 3M</t>
  </si>
  <si>
    <t>CORD OPTIC PATCH SM SCA-SCA 2MM ZIP 4M</t>
  </si>
  <si>
    <t>CORD OPTICAL PATCH SM SCA-SCA BIF WH 3M</t>
  </si>
  <si>
    <t>WIRE GROUND TW SOLID GRN #10 (75M/SP)</t>
  </si>
  <si>
    <t>WIRE GROUND #4 7 STRAND CONCENTRIC 75M/CL</t>
  </si>
  <si>
    <t>PANEL FIBRE 12F IFDT SM SCA RIB PTAIL</t>
  </si>
  <si>
    <t>TRAY, SPLICE, AFL CLOSURE, LG-350U, SINGLE FUSION SPLICE, 24 FIBERS</t>
  </si>
  <si>
    <t>GROMMET, 4-PORT, DROP, FOR AFL LG350 AND LG350AC, FLAT DROP OR ROUND</t>
  </si>
  <si>
    <t>PANEL FIBRE, MINI WALL, 12F WBM SM SCA, 12F LT PIGTAIL, NO STUB.</t>
  </si>
  <si>
    <t>TERMINAL, FIBER DISTRIBUTION BOX, 12F, 100 FT, MPO STUB</t>
  </si>
  <si>
    <t>TERMINAL, FIBER DISTRIBUTION BOX, 12F, 350 FT, MPO STUB</t>
  </si>
  <si>
    <t>TERMINAL, FIBER DISTRIBUTION, 24F, 100 FT, MPO STUB</t>
  </si>
  <si>
    <t>TERMINAL, FIBER DISTRIBUTION, 24F, 350 FT, MPO STUB</t>
  </si>
  <si>
    <t>SINGLE ENTRY GROMMET KIT FOR AFL LG-600</t>
  </si>
  <si>
    <t>TRAY, SPLICE, AFL CLOSURES, LL-2448, 24/48 SINGLE/MASS FUSION SPLICES</t>
  </si>
  <si>
    <t>STRAND 6MM SIZE 1/4" 2500M/RL 48" REEL</t>
  </si>
  <si>
    <t>STRAND 8MM 5/16" BEZINAL COATING 1500M/</t>
  </si>
  <si>
    <t>AFL-LG-500-FTTX-12 ASC-AERIAL CLOSURE</t>
  </si>
  <si>
    <t>AFL-LG-600-FTTX-24 ASC-AERIAL CLOSURE</t>
  </si>
  <si>
    <t>SINGLE CABLE GROMMET FOR LG-500</t>
  </si>
  <si>
    <t>DUAL CABLE GROMMET FOR LG-500</t>
  </si>
  <si>
    <t>DUAL CABLE GROMMET FOR LG-600</t>
  </si>
  <si>
    <t>MULTI-CABLE GROMMET FOR LG-500</t>
  </si>
  <si>
    <t>GROMMET KIT, 6 PORT DROP KIT FOR AFL LG-600. FLAT DROP OR ROUND</t>
  </si>
  <si>
    <t>CABLE GROUND KIT - CLAMP ON TYPE</t>
  </si>
  <si>
    <t>TRAY, SPLICE, AFL SHORT CLOSURES LG-350-AC &amp; SD, LL-4808LM</t>
  </si>
  <si>
    <t>SPLICE TRAY FOR LG-350XL-U-0 CLOSURE</t>
  </si>
  <si>
    <t>SPLICE TRAY FOR AFL LG-500 CLOSURE</t>
  </si>
  <si>
    <t>CONDUIT COUPLER 4" IPS 100MM COMPR ELOC</t>
  </si>
  <si>
    <t>ADAPTER, 4" PVC COND. TO DUCT ADPT IPS SOCXDUCT SOC LONG FAB. SUPERDUC</t>
  </si>
  <si>
    <t>CORD OPTICAL PATCH SM LC-SC 1.2MM 17M</t>
  </si>
  <si>
    <t>CORD OPTICAL PATCH SM LC-SC 1.2MM 18.5M</t>
  </si>
  <si>
    <t>VOICE MODULE 8 PORT C/W RJ31X SECURITY</t>
  </si>
  <si>
    <t>DATA MODULE, 8 PORT CAT5E</t>
  </si>
  <si>
    <t>CORD OPTICAL PATCH SM SCA-SCA BIF WH 2M</t>
  </si>
  <si>
    <t>PANEL FIBRE WALL , 24F WBT SM SCA SP CABLE 60M STUB</t>
  </si>
  <si>
    <t>PANEL FIBRE WALL, 24F WBT SM SCA SP CABLE 150M STUB</t>
  </si>
  <si>
    <t>PANEL FIBRE WALL, 24F WBT SM SCA SP CABLE 300M STUB</t>
  </si>
  <si>
    <t>CARD ADTRAN HDSL2 FOR ADC HMS-317/318</t>
  </si>
  <si>
    <t>CLEAVER, FIBER OPTIC, PRECISION, 50GB</t>
  </si>
  <si>
    <t>HOUSING REPEATER 8 POS SPC COOLPRO GEL</t>
  </si>
  <si>
    <t>HOUSING REPEATER 16 POS SPC COOLPRO GEL</t>
  </si>
  <si>
    <t>HOUSING REPEATER 8 POS SPC COOLPRO AIR</t>
  </si>
  <si>
    <t>HOUSING REPEATER 16 POS SPC COOLPRO AIR</t>
  </si>
  <si>
    <t>HOUSING REPEATER 2 POS QUICKPRO GEL 30'</t>
  </si>
  <si>
    <t>CABLE, 1F, DROP, 4.8MM, RUGGED, INDOOR, WHITE JACKET, 457 M/BX</t>
  </si>
  <si>
    <t>TERMINAL, FIBER DISTRIBUTION, 12F, 500 FT, MPO STUB</t>
  </si>
  <si>
    <t>TERMINAL, FIBER DISTRIBUTION, 12F, 750 FT, MPO STUB</t>
  </si>
  <si>
    <t>TERMINAL, FIBER DISTRIBUTION, 24F, 500 FT, MPO STUB</t>
  </si>
  <si>
    <t>TERMINAL, FIBER DISTRIBUTION, 24F, 750 FT, MPO STUB</t>
  </si>
  <si>
    <t>SHELF, IFDH, RACK MOUNT, SPLITTER, 1X32, ECLIPSE-SERIES, 1RU</t>
  </si>
  <si>
    <t>CHASSIS, TRANSITION ION 1 SLOT,</t>
  </si>
  <si>
    <t>TRANCEIVER, SFP, 1GE OPTICS 1470NM 80KM</t>
  </si>
  <si>
    <t>B118W - CABLE CLAMP 1/8" WHITE (100/BAG)</t>
  </si>
  <si>
    <t>STAPLE 5/16 X 1 1/4" GALV 100/BX</t>
  </si>
  <si>
    <t>STAPLE, 19MM X 63.5MM GALV 3/4X2.5" 50/BX</t>
  </si>
  <si>
    <t>WASHER FLAT STEEL 1/4" PLTD 100/BX</t>
  </si>
  <si>
    <t>WASHER FLAT STEEL 3/8" BOLT PLATED100/BX</t>
  </si>
  <si>
    <t>WASHER FLAT STEEL 5/8"BOLT SZ PLATED-USS</t>
  </si>
  <si>
    <t>WASHER LOCK SPLIT 1/4" PLATED 100/BX</t>
  </si>
  <si>
    <t>STRAND 6MM 1/4" 75/COIL</t>
  </si>
  <si>
    <t>STRAND 6MM 1/4" 1500MR/REEL</t>
  </si>
  <si>
    <t>STRAND 8MM 5/16" 250MR/REEL 22" REEL</t>
  </si>
  <si>
    <t>STRAND 10MM 7/16" 250MR/REEL 26" REEL</t>
  </si>
  <si>
    <t>BOLT LAG 5/16 X 1 3/4" PLATED 100/PK</t>
  </si>
  <si>
    <t>BOLT LAG 3/8 X 1 1/2" PLATED</t>
  </si>
  <si>
    <t>BOLT LAG 3/8 X 2 1/2" PLATED</t>
  </si>
  <si>
    <t>BOLT LAG 1/2"X4" GALV C/W SQUARE HEAD</t>
  </si>
  <si>
    <t>MSI J8765 DRIVE SCREW - 5/8" X 5"</t>
  </si>
  <si>
    <t>BOLT DOUBLE ARMING 5/8" X 24" GALV</t>
  </si>
  <si>
    <t>OUTLET, CUSTOMER PREMISE, 4 PORT, CPO4</t>
  </si>
  <si>
    <t>CABLE, 24F, LOOSE TUBE, LT2.0, 1A, 2J, 1-24 AWG PR, SM</t>
  </si>
  <si>
    <t>CABLE, 144F, LOOSE TUBE, LT2.0, 1A, 2J, 1-24 AWG PR, SM</t>
  </si>
  <si>
    <t>SPRING NUT 1/2"</t>
  </si>
  <si>
    <t>NUT WITHOUT SPRING 1/2"-P3010</t>
  </si>
  <si>
    <t>NUT WITHOUT SPRING 5/8"-P1012</t>
  </si>
  <si>
    <t>PANEL, FIBRE PATCH 24F WITH DC PASS THROUGH. IPLINX</t>
  </si>
  <si>
    <t>CASSETTE, SPLICE,12 FBR (TRAY, COVER&amp; 2 CLIPS)</t>
  </si>
  <si>
    <t>CABLE CLAMP 24F IPLINX</t>
  </si>
  <si>
    <t>TERMINATION BLOCK SEALED IDC</t>
  </si>
  <si>
    <t>SCREW WOOD FH #8 X 3/4" ROBERTSON PLTD</t>
  </si>
  <si>
    <t>SCREW WOOD FH #8 X 1" SOCKET PLT 100/BX</t>
  </si>
  <si>
    <t>SCREW WOOD FH #8 X 1-1/4" ROBERTSON PLTD</t>
  </si>
  <si>
    <t>SCREW WOOD RH #8 X 1-3/4" ROBERTSON PLTD</t>
  </si>
  <si>
    <t>SCREW WOOD RH #10 X 1" ROBERTSON PLTD</t>
  </si>
  <si>
    <t>SCREW WOOD RH #10 X 1-1/4" ROBERTSON PLD</t>
  </si>
  <si>
    <t>WOOD SCREW #10 1-1/2 ROBERTSON FLAT HEAD</t>
  </si>
  <si>
    <t>SCREW WOOD RH #10 X 2-1/2" ROBERTSN PLTD</t>
  </si>
  <si>
    <t>SCREW WOOD RH #10 X 3" ROBERTSON PLTD</t>
  </si>
  <si>
    <t>SCREW WOOD RH #12 X 1" ROBERTSON PLTD</t>
  </si>
  <si>
    <t>SCREW WOOD RH #14X1-1/2"ROBERTSON 100/BX</t>
  </si>
  <si>
    <t>SCREW WOOD RH #14 X 2" ROBERTSON PLTD</t>
  </si>
  <si>
    <t>SCREW WOOD RH #14 X 3" SOCKET PLT 100/BX</t>
  </si>
  <si>
    <t>CLAMP, CABLE, TWO-HOLE, 3/4"</t>
  </si>
  <si>
    <t>POWER BAR, 4 PLUS, VERTICAL, 450J, 100VAC 16CM CORD</t>
  </si>
  <si>
    <t>STRAP PIPE GALV 2.50" STD 2-HOLE</t>
  </si>
  <si>
    <t>CLAMP WIRE ALUMINUM (2PR STN) 100/BAG</t>
  </si>
  <si>
    <t>RING BRIDLE WOOD SCREW 3/4" X 1 5/8"</t>
  </si>
  <si>
    <t>BRACKET STEEL WALL MOUNT FOR CABLE STRAP</t>
  </si>
  <si>
    <t>TOOL INSTALL/CUTTING FOR CABLE STRAPS</t>
  </si>
  <si>
    <t>CABLE TIE &amp; BASE ASSY SELF-LOCKING IVORY</t>
  </si>
  <si>
    <t>GRIP DEADEND PREFORMED PTD 4PR DROP</t>
  </si>
  <si>
    <t>CLAMP TO BOND &amp; GROUND SHEATH ON CABLES</t>
  </si>
  <si>
    <t>B115G50 - CABLE CLAMP RG59 (0.235") GREY (50/BAG)</t>
  </si>
  <si>
    <t>STRAP CABLE &amp; WIRE 203.2MM LIGHT DUTY</t>
  </si>
  <si>
    <t>MARKER CABLE #1 BLUE/ WHITE</t>
  </si>
  <si>
    <t>CABLE TIE .184IN X 7IN GREY 100/PK</t>
  </si>
  <si>
    <t>CABLE TIE .27IN X 13.4IN GREY</t>
  </si>
  <si>
    <t>TYRAP, 100/BAG</t>
  </si>
  <si>
    <t>STRAP CABLE &amp; WIRE 4" LIGHT DUTY 100/PK</t>
  </si>
  <si>
    <t>POLE FULLY TREATED CL 4 15.24M (50')</t>
  </si>
  <si>
    <t>HOOK CABLE RACK 140MM 5 1/2" MH SUPPORT</t>
  </si>
  <si>
    <t>HOOK CABLE RACK 280MM (11") MH SUPPORT</t>
  </si>
  <si>
    <t>REUSABLE BAG FOR OP DUCTS 0 - 4" DIA / SEALING ELEMENT FOR DUCT 0 Â€“ 4Â€</t>
  </si>
  <si>
    <t>REUSABLE BAG FOR OP DUCTS 0 - 2" DIA / SEALING ELEMENT FOR DUCT 0 Â€“ 2Â€</t>
  </si>
  <si>
    <t>TEE CONNECTOR MALE BRANCH 1/8" FLAT</t>
  </si>
  <si>
    <t>ELBOW STREET 9 OD 1/8" 8MRT</t>
  </si>
  <si>
    <t>VALVE "F" E/W CORE &amp; CAP</t>
  </si>
  <si>
    <t>CAP, SWCA20 2" PVC SW SUPERDUCT</t>
  </si>
  <si>
    <t>COUPLING, RC4030 4"X3" PVC SW RED. CPLG SUPERDUCT</t>
  </si>
  <si>
    <t>SWEEP, 4"X22 1/2DX12R PVC SOCXSP TEL 700</t>
  </si>
  <si>
    <t>SWEEP, 2"X90DX12R PVC SOCXSP TEL 700</t>
  </si>
  <si>
    <t>STRANDLINK REDUCER 3/8" TO 5/16" STRAND</t>
  </si>
  <si>
    <t>BOND CLAMP BULLET COIN STUD</t>
  </si>
  <si>
    <t>ROD THREADED 5/8"-11 X 10' PLATED</t>
  </si>
  <si>
    <t>PANEL FIBRE WALL, 24F WBT SM SCA RIB PTAIL - NO STUB</t>
  </si>
  <si>
    <t>LUG SIZE 14-6 ONE HOLE OFFSET TONGUE</t>
  </si>
  <si>
    <t>LUG SIZE 8-2 ONE HOLE OFFSET TONGUE</t>
  </si>
  <si>
    <t>LUG LOCTITE #14 TO #8 WIRE</t>
  </si>
  <si>
    <t>LUG LOCTITE #8 TO #4 WIRE</t>
  </si>
  <si>
    <t>CABLE SEPERATOR FOR 2-4 OSP CABLE (TAPE REQUIRED)</t>
  </si>
  <si>
    <t>CONNECTOR CABLE 2HOLE FOR #8AWG</t>
  </si>
  <si>
    <t>CONNECTOR GRD #6AWG TO #6AWG</t>
  </si>
  <si>
    <t>CONNECTOR GRD 109 STEEL TO 5/16" STRD</t>
  </si>
  <si>
    <t>CONNECTOR GRD #4AWG TO #6AWG</t>
  </si>
  <si>
    <t>BOND GROUND BRAID "Y" #6 &amp; #10</t>
  </si>
  <si>
    <t>BOND GROUND FERRULE 100/PKG</t>
  </si>
  <si>
    <t>CLAMP CABLE 1 11/16" GALV STEEL</t>
  </si>
  <si>
    <t>CLAMP HOSE 2 5/6" TO 3 1/4"</t>
  </si>
  <si>
    <t>ANCHOR CONCRETE DROP IN/NON-SEIS HDI 1/2</t>
  </si>
  <si>
    <t>ANCHOR, WALL, ZINC, #8, 100/BX</t>
  </si>
  <si>
    <t>SCREW ANCHOR NYLON 3/16" X 7/8" 200/BX</t>
  </si>
  <si>
    <t>SCREW ANCHOR NYLON 5/16" X 1-1/2" 50/BX</t>
  </si>
  <si>
    <t>ANCHOR SCREW 200MM 8" PISA C/W LEAD</t>
  </si>
  <si>
    <t>STRAND 12MM SIZE 1/2" 100M/CL</t>
  </si>
  <si>
    <t>BOLT THIMBLE EYE STRAIGHT 5/8" X 14"</t>
  </si>
  <si>
    <t>CLAMP MESSENGER CORNER 2 BOLT</t>
  </si>
  <si>
    <t>HOOK GUY 5/8 X 3/4" BOLT</t>
  </si>
  <si>
    <t>HOOK 2207 CABLE</t>
  </si>
  <si>
    <t>HOOK 14" CABLE</t>
  </si>
  <si>
    <t>HOOK 18" CABLE</t>
  </si>
  <si>
    <t>CABLE ASSEMBLY, 12F OPTITIP NP TO PIGTAIL, SM, DIELECTRIC, 50 MT</t>
  </si>
  <si>
    <t>CABLE ASSEMBLY, 12F OPTITIP NP TO PIGTAIL, SM, DIELECTRIC, 100 MT</t>
  </si>
  <si>
    <t>CABLE ASSEMBLY, 12F OPTITIP NP TO PIGTAIL, SM, DIELECTRIC, 150 MT</t>
  </si>
  <si>
    <t>CABLE ASSEMBLY, 12F OPTITIP NP TO PIGTAIL, SM, DIELECTRIC, 200 MT</t>
  </si>
  <si>
    <t>CABLE ASSEMBLY, 6F OPTITIP NP TO PIGTAIL, SM, DIELECTRIC, 50 MT</t>
  </si>
  <si>
    <t>CABLE ASSEMBLY, 6F OPTITIP NP TO PIGTAIL, SM, DIELECTRIC, 150 MT</t>
  </si>
  <si>
    <t>CABLE ASSEMBLY, 6F OPTITIP NP TO PIGTAIL, SM, DIELECTRIC, 200 MT</t>
  </si>
  <si>
    <t>PANEL FIBRE 48F IFDT SM SCA, WITH PIGTAILS, NO STUB</t>
  </si>
  <si>
    <t>MANHOLE INSTALL CALGARY</t>
  </si>
  <si>
    <t>MANHOLE INSTALL EDMONTON</t>
  </si>
  <si>
    <t>CAULK FIRESTOP GREY 3M#FD150+ 10OZ TUBE</t>
  </si>
  <si>
    <t>COTTON TAPE 5148 1"X 36YD COTTON</t>
  </si>
  <si>
    <t>WIRE LASHING 0.045" 1200FT ROLL</t>
  </si>
  <si>
    <t>CLAMP CABLE 5/16" GALV STEEL</t>
  </si>
  <si>
    <t>CLAMP CABLE 7/16" GALV STEEL</t>
  </si>
  <si>
    <t>FIBER, DROP, 1F, RUGGED, SM, INDOOR/OUTDOOR, BLACK, 457 MT/BOX</t>
  </si>
  <si>
    <t>CABLE TIE I.D. 8" (PAD SIZE .813"X.359")</t>
  </si>
  <si>
    <t>12F MPO/MPO 30MPATCHCORD SM A/B POLARITY</t>
  </si>
  <si>
    <t>END CAP, VINYL PUSH FIT. 0.28" ID, 1.5" LENGTH, BLACK, 100/BAG</t>
  </si>
  <si>
    <t>CABLE, 12F, HALLWAY INVISILIGHT, MPO END, 60M</t>
  </si>
  <si>
    <t>CABLE, 12F, HALLWAY INVISILIGHT, MPO END, 100M</t>
  </si>
  <si>
    <t>CABLE, 12F, HALLWAY INVISILIGHT, MPO END, 155M</t>
  </si>
  <si>
    <t>CABLE, 12F, HALLWAY INVISILIGHT, MPO END, 200M</t>
  </si>
  <si>
    <t>CABLE, 12F, HALLWAY INVISILIGHT, SCAPC ENDS, 60M</t>
  </si>
  <si>
    <t>CABLE, 12F, HALLWAY INVISILIGHT, SCAPC ENDS, 100M</t>
  </si>
  <si>
    <t>CABLE, 12F, HALLWAY INVISILIGHT, SCAPC ENDS, 155M</t>
  </si>
  <si>
    <t>CABLE, 12F, HALLWAY INVISILIGHT, SCAPC ENDS, 200M</t>
  </si>
  <si>
    <t>P-TOUCHÂ® LABEL TAPE, 1/4" BLACK ON WHITE</t>
  </si>
  <si>
    <t>P-TOUCHÂ® LABEL TAPE, 3/8" BLACK ON WHITE</t>
  </si>
  <si>
    <t>P-TOUCHÂ® LABEL TAPE, 1/2" BLACK ON WHITE</t>
  </si>
  <si>
    <t>P-TOUCHÂ® LABEL TAPE, 3/4" BLACK ON WHITE</t>
  </si>
  <si>
    <t>P-TOUCHÂ® LABEL TAPE, 1" BLACK ON WHITE</t>
  </si>
  <si>
    <t>UNIVERSAL CONDUIT SADDLE CLAMP 2" USTRUT</t>
  </si>
  <si>
    <t>UNIVERSAL CONDUIT SADDLE CLAMP 4" USTRUT</t>
  </si>
  <si>
    <t>TAPE - GREEN PAINTERS 1"</t>
  </si>
  <si>
    <t>IBC BRAND MPO CLEANER</t>
  </si>
  <si>
    <t>CABINET IFDH 72F WALL UNIVERSAL CE</t>
  </si>
  <si>
    <t>CABINET IFDH 96F WALL UNIVERSAL CE</t>
  </si>
  <si>
    <t>CABINET IFDH144F WALL UNIVERSAL CE</t>
  </si>
  <si>
    <t>CABINET IFDH 288F WALL UNIVERSAL CE</t>
  </si>
  <si>
    <t>CABINET IFDH 432F WALL UNIVERSAL CE</t>
  </si>
  <si>
    <t>SPLICE TRAY, 24-144F, IFDH UNIV CE, SGL/RIB</t>
  </si>
  <si>
    <t>CORD OPTIC PATCH SM LC-SC 1.2MM 5M COR</t>
  </si>
  <si>
    <t>GROMMET KIT, SINGLE CABLE, FOR LG350 ON EXPRESS PORT</t>
  </si>
  <si>
    <t>DUAL EXPRESS GROMMET FOR AFL LG-350U 2PK</t>
  </si>
  <si>
    <t>EXPRESS GROMMET FOR LG-350XL 2/PK</t>
  </si>
  <si>
    <t>GROMMET KIT, DROP, SINGLE CABLE, FOR LG350</t>
  </si>
  <si>
    <t>SINGLE GROMMET FOR LG-350XL-U-0 CLOSURE</t>
  </si>
  <si>
    <t>GROMMET KIT, DUAL, MIN. 0.38" - MAX. 0.56",FOR LG-350XL EXPRESS PORT</t>
  </si>
  <si>
    <t>HANGER KIT FOR LG-500 AND LG-600 2/PK</t>
  </si>
  <si>
    <t>ROUTING KIT, 12F, INVISILIGHT SUPPLEMENTAL</t>
  </si>
  <si>
    <t>INSIDE CORNER, 12F, INVISILIGHT, 100 PACK</t>
  </si>
  <si>
    <t>OUTSIDE CORNER, 12F, INVISILIGHT, 100 PACK</t>
  </si>
  <si>
    <t>PLUG AND CAP, 12F, INVISILIGHT, 100 PACK</t>
  </si>
  <si>
    <t>ALUMINUM TAPE 4 INCH BY 40FT</t>
  </si>
  <si>
    <t>PANEL FIBRE, FET 3, FDT WALL MOUNT, 12F SC/APC, LT PIGTAIL, NO STUB.</t>
  </si>
  <si>
    <t>PANEL FIBRE, FET 3, FDT WALL MOUNT, 12F SC/APC, RIBBON, NO STUB.</t>
  </si>
  <si>
    <t>EPSON LABEL TAPE 3/8" 9MM</t>
  </si>
  <si>
    <t>EPSON LABEL TAPE 1/2"12MM</t>
  </si>
  <si>
    <t>OPTICAL PCORD SM 1.2 ZIP LC-LC/UPC 4.3M</t>
  </si>
  <si>
    <t>OPTICAL PCORD SM 1.2 ZIP LC-SC/UPC 12.5M</t>
  </si>
  <si>
    <t>OPTICAL PCORD SM 1.2 ZIP LC-SC/UPC 17M</t>
  </si>
  <si>
    <t>OPTICAL PCORD SM 1.2 ZIP LC-SC/UPC 20M</t>
  </si>
  <si>
    <t>PATCHCORD, OPTICAL SM 1.2 ZIP SC-SC/UPC 0.5M</t>
  </si>
  <si>
    <t>PATCHCORD, OPTICAL SM 1.2 ZIP SC-SC/UPC 7M</t>
  </si>
  <si>
    <t>OPTICAL PCORD SM 1.2 ZIP SC-SC/UPC 8M</t>
  </si>
  <si>
    <t>OPTICAL PCORD SM 1.2 ZIP SC-SC/UPC 10M</t>
  </si>
  <si>
    <t>OPTICAL PCORD SM 1.2 ZIP SC-SC/UPC 25M</t>
  </si>
  <si>
    <t>CABLE, 864F, RIBBON IN LOOSE TUBE, 1A, 1J, SM, AW+</t>
  </si>
  <si>
    <t>WRENCH ADJUSTABLE 8IN</t>
  </si>
  <si>
    <t>OPTICAL PCORD SM 1.2 ZIP SC-SC/UPC 1M</t>
  </si>
  <si>
    <t>PATCHCORD, OPTICAL SM 1.2 ZIP SC-SC/UPC 2M</t>
  </si>
  <si>
    <t>OPTICAL PCORD SM 1.2 ZIP SC-SC/UPC 4M</t>
  </si>
  <si>
    <t>OPTICAL PCORD SM 1.2 ZIP SC-SC/UPC 5M</t>
  </si>
  <si>
    <t>BUNGEE CORD, TIE DOWN RUBBER, C/W S HOOKS 21"</t>
  </si>
  <si>
    <t>HOUSING, CCH, RACK MOUNT, 3U, HOLDS 6 CCH CONNECTOR PANELS</t>
  </si>
  <si>
    <t>CASSETTE, 12F, CCH, SC/APC, SIMPLEX, SINGLE MODE (OS2), E/W PIGTAILS</t>
  </si>
  <si>
    <t>MODULE, SPLITTER, CCH, 1X32, GEN III, SC/APC, E/W 1M PIGTAILS</t>
  </si>
  <si>
    <t>MODULE, SPLITTER, CCH, 1X32, GEN III, SC/APC, E/W 2M PIGTAILS</t>
  </si>
  <si>
    <t>ADAPTER BRACKET, CCH GEN III, HOLDS 1X GEN III SPLITTER MODULE</t>
  </si>
  <si>
    <t>BRACKET, STORAGE, CCH, SPLITTER PARKING LOT</t>
  </si>
  <si>
    <t>CLIP, FIBRE SPLITTER LEG IDENTIFIER, RED</t>
  </si>
  <si>
    <t>TERMINAL, MULTIPORT, 6-PORT, SC/APC, SM, DIELECTRIC, 125 MT</t>
  </si>
  <si>
    <t>TERMINAL, MULTIPORT, 8-PORT, SC/APC, SM, DIELECTRIC, 125 MT</t>
  </si>
  <si>
    <t>TERMINAL, MULTIPORT, 12-PORT, SC/APC, SM, DIELECTRIC, 125 MT</t>
  </si>
  <si>
    <t>DIRECT TO SITE_VAULT 1.2MX1.2MX1.28M SPLITC/W STEEL LID</t>
  </si>
  <si>
    <t>DIRECT TO SITE_CIRCULAR SERVICE BOX/MH 0.94DI X610/1025</t>
  </si>
  <si>
    <t>DIRECT TO SITE_ROOF SLAB 1.5M CAST-IN MH RING FLUSH LID</t>
  </si>
  <si>
    <t>DIRECT TO SITE_CIRCULAR SERVICE BOX/MH 0.94DI FLOOR</t>
  </si>
  <si>
    <t>VAULT MINI 36X36X36 LID TIER-22</t>
  </si>
  <si>
    <t>CAD 6 OR 8 PEDESTAL STAKE - 42"</t>
  </si>
  <si>
    <t>GREENFIELD 2.0 DROP TAGS</t>
  </si>
  <si>
    <t>CABLE, PATCH, BLACK, MOLDED, RJ45 CAT6 550MHZ, 1FT</t>
  </si>
  <si>
    <t>CABLE, PATCH, BLACK, MOLDED, RJ45 CAT6 550MHZ, 15FT</t>
  </si>
  <si>
    <t>CABLE, PATCH, BLACK, MOLDED, RJ45 CAT6 550MHZ, 25FT</t>
  </si>
  <si>
    <t>WIRE 4PR 23GA CAT6 GRAY FT4 305M BOX</t>
  </si>
  <si>
    <t>CABLE FIBRE 12F PIGTAILSM RIB SCAPC 3M</t>
  </si>
  <si>
    <t>TERMINAL, FIBRE DISTRIBUTION, 12F, MPO TERMINATED TAIL, 200FT</t>
  </si>
  <si>
    <t>TERMINAL, FIBRE DISTRIBUTION, 24F, MPO TERMINATED TAIL, 200FT</t>
  </si>
  <si>
    <t>COLLECTOR PLATE TERMINAL I/O 72F BLUNT -6MT/12APC-350FT</t>
  </si>
  <si>
    <t>COLLECTOR PLATE TERMINAL I/O 72F BLUNT -6MT/12APC-500FT</t>
  </si>
  <si>
    <t>COLLECTOR PLATE TERMINAL I/O 72F BLUNT -6MT/12APC-750FT</t>
  </si>
  <si>
    <t>COLLECTOR PLATE TERMINAL I/O 144F BLUNT -12MT/24APC-350FT</t>
  </si>
  <si>
    <t>COLLECTOR PLATE TERMINAL I/O 144F BLUNT -12MT/24APC-500FT</t>
  </si>
  <si>
    <t>COLLECTOR PLATE TERMINAL I/O 144F BLUNT -12MT/24APC-750FT</t>
  </si>
  <si>
    <t>PIGTAIL, MTP 12 F (NON-PINNED) SM, RIBBON INTERCONNECT PLENUM, 3 METER</t>
  </si>
  <si>
    <t>PIGTAIL, MTP 12 F (NON-PINNED) SM, RIBBON INTERCONNECT PLENUM, 5 METER</t>
  </si>
  <si>
    <t>PRIMEX P2000 MODIFIED FOR OPTERNA</t>
  </si>
  <si>
    <t>PIGTAIL, OPTITAP,2F,CLEARCURE LBL SST DIELECTRIC DROP,1000M</t>
  </si>
  <si>
    <t>OUTLET, CUSTOMER PREMISE. WALL MOUNT PLATE, 1 SC/A</t>
  </si>
  <si>
    <t>CABINET IFDH 864F RACK UNIVERSAL CE</t>
  </si>
  <si>
    <t>CABINET IFDH 864F RACK SPLICED LS</t>
  </si>
  <si>
    <t>TAPE GREEN PAINTERS 2IN</t>
  </si>
  <si>
    <t>BAG POLY CLEAR 30IN X 36IN 6MIL</t>
  </si>
  <si>
    <t>6-HOLE GROMMET FOR ROUND AND FLAT DROP</t>
  </si>
  <si>
    <t>3V LITHIUM CYLINDER, 34MM X 17MM X 1.4AH</t>
  </si>
  <si>
    <t>3V LITHIUM COIN, 20MM X 3.2MM / 210MAH</t>
  </si>
  <si>
    <t>PIGTAIL, FLAT DROP, OPTITAP,2F, SST/900 UM DIELECTRIC,IN/OUTDOOR, 450M</t>
  </si>
  <si>
    <t>CABLE, 1F DROP, 4.8MM RUGGED, SM INDOOR PLENUM FT6. YELLOW 457M/BOX</t>
  </si>
  <si>
    <t>C DESICCANT BAGS</t>
  </si>
  <si>
    <t>DIRECT TO SITE_UTILIWALK TRENCH COVER STATIC H20</t>
  </si>
  <si>
    <t>DIRECT TO SITE_VAULT 1.4X1.4X1.3M FRAME/ LID ROAD RATED</t>
  </si>
  <si>
    <t>MODULE DATA 8 PORT CAT6</t>
  </si>
  <si>
    <t>IKE 4 POLE LINE SURVEYING TOOL</t>
  </si>
  <si>
    <t>KIT, CONNECTOR, SC/APC FIELD INSTALLABLE COMP SEAL W/O FIXTURE</t>
  </si>
  <si>
    <t>CONNECTOR, FIELD INSTALLABLE, MULTILINK, SC/APC 250, 900 UM . PACK OF 25</t>
  </si>
  <si>
    <t>TEMPLATE, FIXTURE FD H IP FIELD INSTALLABLE COMP SEAL RED</t>
  </si>
  <si>
    <t>PANEL FIBRE, FET3, 12F, FDT WALL MOUNT, SC/APC, DROP STUB 15M</t>
  </si>
  <si>
    <t>PANEL FIBRE, FET3, 12F, FDT WALL MOUNT, SC/APC, DROP STUB 30M</t>
  </si>
  <si>
    <t>PANEL FIBRE, FET3, 12F, FDT WALL MOUNT, SC/APC, DROP STUB 92M</t>
  </si>
  <si>
    <t>PANEL FIBRE, FET3, 12F, FDT WALL MOUNT, SC/APC, DROP STUB 122M</t>
  </si>
  <si>
    <t>PANEL FIBRE, FET3, 12F, FDT WALL MOUNT, SC/APC, DROP STUB 153M</t>
  </si>
  <si>
    <t>PANEL FIBRE, FET3, 12F, FDT WALL MOUNT, SC/APC, DROP STUB 168M</t>
  </si>
  <si>
    <t>PANEL FIBRE, FET3, 12F, FDT WALL MOUNT, SC/APC, DROP STUB 183M</t>
  </si>
  <si>
    <t>PANEL FIBRE, FET3, 12F, FDT WALL MOUNT, SC/APC, DROP STUB 214M</t>
  </si>
  <si>
    <t>PANEL FIBRE, FET3, 12F, FDT WALL MOUNT, SC/APC, DROP STUB 245M</t>
  </si>
  <si>
    <t>PANEL FIBRE, FET3, 12F, FDT WALL MOUNT, SC/APC, DROP STUB 305M</t>
  </si>
  <si>
    <t>PRIMEX 125-1533 ENCLOSURE EXTENSION 1-INCH DEPTH</t>
  </si>
  <si>
    <t>PANEL, FIBER ENTRY TERMIN24 PORT PATCH&amp;SPLICE SM SC-APC 900UM PIGTAILS</t>
  </si>
  <si>
    <t>PANEL FIBER,FET3T,24F, STUBBED W/TUBE BLK TAPE ARMOR SA/PIGTAIL 60M</t>
  </si>
  <si>
    <t>PANEL FIBER,FET3T,24F, STUBBED W/TUBE BLK TAPE ARMOR SA/PIGTAIL 150M</t>
  </si>
  <si>
    <t>PANEL FIBER,FET3T,24F, STUBBED W/TUBE BLK TAPE ARMOR SA/PIGTAIL 300M</t>
  </si>
  <si>
    <t>CELL PHONE CAR MOUNT AIR VENT MAGNETIC</t>
  </si>
  <si>
    <t>BOX SERVICE FBRGL 2335 LOC LID WITH BOT</t>
  </si>
  <si>
    <t>SHROUD, FIXED, 12Â€FOR FET3, GRAY</t>
  </si>
  <si>
    <t>ADJUSTABLE SKIRT, GRAY, FIBER ENTRY TERMINAL</t>
  </si>
  <si>
    <t>CABLE, 8F, INVISILIGHT, SCAPC ENDS, 60M. 8 POE UNITS &amp; ACC.</t>
  </si>
  <si>
    <t>CABLE, 8F, INVISILIGHT, SCAPC ENDS, 155M. 8 POE UNITS &amp; ACC.</t>
  </si>
  <si>
    <t>CABLE, 8F, INVISILIGHT, SCAPC ENDS, 200M. 8 POE UNITS &amp; ACC.</t>
  </si>
  <si>
    <t>CABLE, 16F, INVISILIGHT, SCAPC ENDS, 60M. 16 POE UNITS &amp; ACC.</t>
  </si>
  <si>
    <t>CABLE, 16F, INVISILIGHT, SCAPC ENDS, 155M. 16 POE UNITS &amp; ACC.</t>
  </si>
  <si>
    <t>CABLE, 16F, INVISILIGHT, SCAPC ENDS, 300MT, 16 POE UNITS &amp; ACC.</t>
  </si>
  <si>
    <t>CLAMP, GROUND ROD, 5/8Â€ WITH #12Â€“1/0 AWG. BRONZE. TORQUE SHEAR HEAD</t>
  </si>
  <si>
    <t>INVISILIGHT REPAIR MODULE, POINT-OF-ENTRY (POE) MODULE W/ SPLICE TRAY</t>
  </si>
  <si>
    <t>VAULT, 24X36X24D, TIER 22, 1 PCE PC LID, MARKER,OPEN BOTTOM. BOLT 6/SKID, 180 T/L</t>
  </si>
  <si>
    <t>CONNECTOR GRD Â¼Â€-5/16Â€ STRAND TO #6 - #12 AWG</t>
  </si>
  <si>
    <t>HOOK, RACK, 7.5"</t>
  </si>
  <si>
    <t>HOOK, RACK, 10"</t>
  </si>
  <si>
    <t>HOOK, RACK, 14"</t>
  </si>
  <si>
    <t>HOOK, RACK, 18"</t>
  </si>
  <si>
    <t>CONNECTOR MS2 4005 STR SPLC FILL 24/BAG</t>
  </si>
  <si>
    <t>CABLE FIBRE 12F SM SCA - MPO UDPU 5FT</t>
  </si>
  <si>
    <t>CABLE FIBRE 12F SM SCA - MPO UDPU 10FT</t>
  </si>
  <si>
    <t>CABLE FIBRE 12F SM SCA - MPO UDPU 15FT</t>
  </si>
  <si>
    <t>CABLE FIBRE 12F SM SCA - MPO UDPU 25FT</t>
  </si>
  <si>
    <t>PATCHPANEL 12 PORT - CAT6 STUB UPDU -5FT</t>
  </si>
  <si>
    <t>PATCHPANEL 12 PORT - CAT6 STUB UPDU 10FT</t>
  </si>
  <si>
    <t>PATCHPANEL 12 PORT - CAT6 STUB UPDU 15FT</t>
  </si>
  <si>
    <t>PATCHPANEL 12 PORT - CAT6 STUB UPDU 25FT</t>
  </si>
  <si>
    <t>DIRECT TO SITE_UTILIWALK TRENCH COVER STATICH20 T226LID</t>
  </si>
  <si>
    <t>CASSETTE, 12F, CCH, SC/APC FRT-12F MPO REAR</t>
  </si>
  <si>
    <t>CONNECTOR, BRONZE, VISE TYPE, #6 - #6, #10, #12 5/PK</t>
  </si>
  <si>
    <t>RACKING MICRODPU 12 POSITION C/W COVER</t>
  </si>
  <si>
    <t>KIT, BREAKOUT, 12F, LT, 24"</t>
  </si>
  <si>
    <t>KIT, BREAKOUT, 24F, LT</t>
  </si>
  <si>
    <t>INVISILIGHT INDOOR/OUTDOOR POE MODULE WITH 1 SCA SIMPLEX ADAPTER</t>
  </si>
  <si>
    <t>CABLE, 12F, EZBEND 3.0MM, SM, PLENUM, I/O, BLK, 2000FT/BX</t>
  </si>
  <si>
    <t>CABLE, 24F, EZBEND 3.8MM, SM, PLENUM, I/O, BLK, DPK, 2000FT/BX</t>
  </si>
  <si>
    <t>BATTERY AAA DRY 1.5V ALKALINE</t>
  </si>
  <si>
    <t>OUTLET SPLIT PLATE</t>
  </si>
  <si>
    <t>PLUG 3 WIRE MALE 15A 125V FOR EXT CORDS</t>
  </si>
  <si>
    <t>TMWBF1CDEA METAL BRT W/SCREWS FOR FL MT</t>
  </si>
  <si>
    <t>ROD GROUND GALV 19MM X 1.5M (3/4" X 5')</t>
  </si>
  <si>
    <t>POST MARKER 3"X6' FIBER BURIED CABLE BC</t>
  </si>
  <si>
    <t>CLOSURE WIRE SERVICE ZEBRA</t>
  </si>
  <si>
    <t>ZEBRA RACKING VAULT</t>
  </si>
  <si>
    <t>RACKING BAR, ZEBRA, WITHOUT MOUNTING BRACKET</t>
  </si>
  <si>
    <t>DUCT, SUB, 32MMX750M HDPE SDR11 ORANGE WITH 3 BROWN STRIPES TELUS</t>
  </si>
  <si>
    <t>DUCT, SUB, 40MMX500M HDPE SDR11 ORANGE WITH 3 BLUE STRIPES TELUS CAPPE</t>
  </si>
  <si>
    <t>DIRECT TO SITE_LID CHECKERPLATE 1/4" RATED FOR H20</t>
  </si>
  <si>
    <t>RISER 600MM SPLICE BOX</t>
  </si>
  <si>
    <t>RISER 300MM DEEP FOR BOX SERVICE FBRGL</t>
  </si>
  <si>
    <t>BASE 425MM DEEP FOR BOX SERVICE FBRGL</t>
  </si>
  <si>
    <t>LID CONCRETE POLYMAR FOR BOX SVC FBRGL</t>
  </si>
  <si>
    <t>RISER 838MM DIA X 300MM DEEP 6030</t>
  </si>
  <si>
    <t>MOULDING POLYETHLENE GROUND WIRE GUARD</t>
  </si>
  <si>
    <t>SPLICE ENCLOSURE BUNDLE BAG 6.5" REGULAR</t>
  </si>
  <si>
    <t>SPLICE ENCLOSURE BUNDLE BAG 9.5" REGULAR</t>
  </si>
  <si>
    <t>SPLICE ENCLOBUNDLE BAG 9.5" STRETCH Q50</t>
  </si>
  <si>
    <t>SPLICE ENCLOSURE BUNDLE BAG 12 1/2 REG</t>
  </si>
  <si>
    <t>SPLICE ENCLOSURE BUNDLE BAG 12 1/2" S</t>
  </si>
  <si>
    <t>CLOSURE FREE BREATHING (SLIC) 2" X 19"</t>
  </si>
  <si>
    <t>CLOSURE VAULT RE-ENTER SH METAL 1800PR</t>
  </si>
  <si>
    <t>CLOSURE FREE BREATHING (SLIC) 9.5" X 36"</t>
  </si>
  <si>
    <t>WRAP SPIRAL FOR FIBER MODR ORG TRAY</t>
  </si>
  <si>
    <t>MARKER VINYL WIRE COUNTS 67 TO 99</t>
  </si>
  <si>
    <t>MARKER VINYL WIRE COUNTS 34 TO 66</t>
  </si>
  <si>
    <t>MARKER VINYL WIRE COUNTS 1 TO 12</t>
  </si>
  <si>
    <t>CASE SPLICE MECH 12 1/2" X 28" SS</t>
  </si>
  <si>
    <t>CASE SPLICE MECHANICAL 4" X 25.8" SS</t>
  </si>
  <si>
    <t>CASE SPLICE MECH 12.5 X 45 SUPER STRETCH</t>
  </si>
  <si>
    <t>CASE SPLICE MECHANICAL 6 1/2" X 28.4"</t>
  </si>
  <si>
    <t>CASE SPLICE MECH 9 1/2" X 45" SUPER S</t>
  </si>
  <si>
    <t>CASE SPLICE MECH 12 1/2" X 38" STRETCH</t>
  </si>
  <si>
    <t>CASE SPLICE MECHANICAL 9 1/2" X 28.4"</t>
  </si>
  <si>
    <t>CASE SPLICE MECH 6 1/2" X 38.4" STRETCH</t>
  </si>
  <si>
    <t>CASE SPLICE MECH 9 1/2" X 38.4" STRETCH</t>
  </si>
  <si>
    <t>PLUG END PIECE USED TO FILL HOLE</t>
  </si>
  <si>
    <t>END PLATE 2WAY C/W TAPE FOR 4" CASE 2/BX</t>
  </si>
  <si>
    <t>END PLATE 2WAY C/W TAPE FOR 6 1/2" 2/BX</t>
  </si>
  <si>
    <t>END PLATE 2WAY C/W TAPE FOR 9 1/2" 2/BX</t>
  </si>
  <si>
    <t>END PLATE 3WAY C/W TAPE FOR 12 1/2" CASE</t>
  </si>
  <si>
    <t>END PLATE 2WAY C/W TAPE FOR 12 1/2" CASE</t>
  </si>
  <si>
    <t>PLATE 3WAY C/W TAPE FOR 9 1/2"</t>
  </si>
  <si>
    <t>KIT 1/4" NUTS/BOLTS/WASHERS PLP</t>
  </si>
  <si>
    <t>LUBRICANT 8OZ JAR (12/CAN)</t>
  </si>
  <si>
    <t>FOSC ACC CABLE SEAL 2BT</t>
  </si>
  <si>
    <t>END PLATE 3WAY C/W TAPE FOR 6 1/2"</t>
  </si>
  <si>
    <t>RING SEAL FOR FOSC 400 B &amp; A</t>
  </si>
  <si>
    <t>KIT SPLICE-PAK 250UM-900UM BLUE 25/PK</t>
  </si>
  <si>
    <t>KIT SPLICE-PAK 900UM-900UM GREEN 25/PK</t>
  </si>
  <si>
    <t>KIT LOCKBAR 4PC FOR 38.4" STRCH CASE</t>
  </si>
  <si>
    <t>TUBING TEFLON #18 NAT THIN WALL 100'/RL</t>
  </si>
  <si>
    <t>CAP END HEAT SHRINK 2"ID TO 1"ID</t>
  </si>
  <si>
    <t>CAP END HEAT SHRINK 1.15"ID TO .5"ID</t>
  </si>
  <si>
    <t>CAP END HEAT SHRINK .51" ID TO .16" ID</t>
  </si>
  <si>
    <t>CLIP INSULATOR RED PLASTIC/R66 BLOCKS</t>
  </si>
  <si>
    <t>MARKER ID BINDING POST MS2 901 TO 1800</t>
  </si>
  <si>
    <t>MARKER ID BINDING POST MS2 1801 TO 2700</t>
  </si>
  <si>
    <t>MARKER ID BINDING POST MS2 2701 TO 3600</t>
  </si>
  <si>
    <t>DECALS, TERMINAL, LETTERS, BLACK/ORANGE, 1.8"X2.25", 10/PK - D</t>
  </si>
  <si>
    <t>DECALS, TERMINAL, LETTERS, BLACK/ORANGE, 1.8"X2.25", 10/PK - E</t>
  </si>
  <si>
    <t>DECALS, TERMINAL, LETTERS, BLACK/ORANGE, 1.8"X2.25", 10/PK - F</t>
  </si>
  <si>
    <t>DECALS, TERMINAL, LETTERS, BLACK/ORANGE, 1.8"X2.25", 10/PK - G</t>
  </si>
  <si>
    <t>DECALS, TERMINAL, LETTERS, BLACK/ORANGE, 1.8"X2.25", 10/PK - H</t>
  </si>
  <si>
    <t>DECALS, TERMINAL, LETTERS, BLACK/ORANGE, 1.8"X2.25", 10/PK - I</t>
  </si>
  <si>
    <t>DECALS, TERMINAL, LETTERS, BLACK/ORANGE, 1.8"X2.25", 10/PK - J</t>
  </si>
  <si>
    <t>TAPE FLAGGING 1"X125FT BLUE/WHITE STRIPE</t>
  </si>
  <si>
    <t>PLYWOOD BACKBOARD 2'X4'X3/4" GOOD 1 SIDE</t>
  </si>
  <si>
    <t>HOUSING NTWK INTFC 12 LINE</t>
  </si>
  <si>
    <t>COVER WIRE RETAINER</t>
  </si>
  <si>
    <t>END PIECE 3 PORT FITS 3.5" SLIC CLOSURE</t>
  </si>
  <si>
    <t>TERMINAL 5" SLIC USED FOR FIX COUNT</t>
  </si>
  <si>
    <t>TERMINAL PEDESTAL 203MM X 203MM X 1.28M</t>
  </si>
  <si>
    <t>LOAD COIL-770-0025/662-88MH SP 15' D-ENC</t>
  </si>
  <si>
    <t>CLEANER OPTIC PREP TERMINAL SCREENS 50BX</t>
  </si>
  <si>
    <t>TAPE PACKAGING PVC LOGO 48MM X 66M</t>
  </si>
  <si>
    <t>VINYL COVER FOR FORM P28 &amp; I&amp;R CODEBOOK</t>
  </si>
  <si>
    <t>SIGN UNSAFE POLE</t>
  </si>
  <si>
    <t>T.A.S. REPAIR W.O. BOOK 50/BK</t>
  </si>
  <si>
    <t>DECAL WARNING LTS SPLICE - MACKENZIE</t>
  </si>
  <si>
    <t>TAG DEMARCATION-LEASED LOOP</t>
  </si>
  <si>
    <t>SUNSCREEN SPF30 TOWELETTE PABAFREE</t>
  </si>
  <si>
    <t>CLEANER ISOPROPANOL 125ML CONTAINER</t>
  </si>
  <si>
    <t>CLOTH RAG 100% FLANNEL 10LB PER BOX</t>
  </si>
  <si>
    <t>TAPE GLASS ELECTRICAL 1" X 36YDS "27"</t>
  </si>
  <si>
    <t>TAPE PAPER 12MM X 15M</t>
  </si>
  <si>
    <t>TAPE VINYL SCOTCHRAP TG 2" X 100' GREY</t>
  </si>
  <si>
    <t>TAPE TEFLON WHITE 1/2" X 40' PTFE</t>
  </si>
  <si>
    <t>TAPE, LOCK- 3/4" F.O. 12' ROLL</t>
  </si>
  <si>
    <t>TAPE, LOCK - 1 1/2" 12FT ROLL</t>
  </si>
  <si>
    <t>TAPE RUBBER DR 2 1/2" X 5 YDS</t>
  </si>
  <si>
    <t>TAPE RUBBER DR 3" X 5 YARDS</t>
  </si>
  <si>
    <t>TAPE CLEAR SPLICE WRAP 4"X 160 FT</t>
  </si>
  <si>
    <t>SEALANT 50MM X 300MM</t>
  </si>
  <si>
    <t>TAPE ADHESIVE DBLE-SIDED 2" X 50'</t>
  </si>
  <si>
    <t>TAPE UG SPLICING 1 1/2" X 33M (36 YARDS)</t>
  </si>
  <si>
    <t>SHIELD HEAT 100/BAG</t>
  </si>
  <si>
    <t>SHIELD HEAT DYNATEK 96" X 2"</t>
  </si>
  <si>
    <t>CLOTH MUSLIN 4" X 8 YARDS</t>
  </si>
  <si>
    <t>TARP PLASTIC 4' X 50'</t>
  </si>
  <si>
    <t>PAINT AEROSOL GLOWING RED-ORANGE 15 OZ</t>
  </si>
  <si>
    <t>PAINT MARKING ORANGE CHALK</t>
  </si>
  <si>
    <t>PAINT AEROSOL MARKING YELLOW 17OZ 482GR</t>
  </si>
  <si>
    <t>UPSIDE DOWN WHITE SPRAY CHALK</t>
  </si>
  <si>
    <t>DEGREASER CABLE &amp; TOOL CLEANER RAINBOW</t>
  </si>
  <si>
    <t>WD-40 490040 11-OUNCE LUBRICANT CAN WITH SMART STRAW</t>
  </si>
  <si>
    <t>LUBRICANT RUST INHIBTOR 312GR 12/CN</t>
  </si>
  <si>
    <t>KIT RODENT CLEAN UP HANTA VIRUS</t>
  </si>
  <si>
    <t>CEMENT HYDRAULIC QUICK PLUG 5KG PAIL</t>
  </si>
  <si>
    <t>LUBRICANT CABLE POLYWATER TYPE "PJ"</t>
  </si>
  <si>
    <t>SOLVENT AEROSOL 10.6 OZ HFE 7100</t>
  </si>
  <si>
    <t>BARRIER, FIRE, PUTTY, STIX, 1.4X11</t>
  </si>
  <si>
    <t>FILLER 162ML TUBE</t>
  </si>
  <si>
    <t>DESICCANT SILICA GEL 325GRAM BAG</t>
  </si>
  <si>
    <t>GAS-LEAK DETN SOLUTION Q-TEL 473ML</t>
  </si>
  <si>
    <t>SOLVENT, CEMENT, PVC, S100QT QUART (950 ML) LOW V.O.C. SCEPTER</t>
  </si>
  <si>
    <t>SEALANT SILICONE TRANSPARENT 80ML (85G)</t>
  </si>
  <si>
    <t>SEALANT TEFLON PIPE THREAD LOCTITE</t>
  </si>
  <si>
    <t>COMPOUND DAMMING 170 GRAM CARTRIDGE</t>
  </si>
  <si>
    <t>COMPOUND DAMMING 567 GRAM CARTRIDGE</t>
  </si>
  <si>
    <t>KIT DAMMING 330MM X 530MM</t>
  </si>
  <si>
    <t>KIT DAMMING 430MM X 530MM</t>
  </si>
  <si>
    <t>SOLDER 60/40 .062 RESIN CORE LENNOX</t>
  </si>
  <si>
    <t>CLEANER LIFT OFF 2 22OZ 6/CASE</t>
  </si>
  <si>
    <t>KB-88 PENETRANT</t>
  </si>
  <si>
    <t>KLEIN 601-6 3/16" CABINET TIP SCREWDRIVER "Â€Œ 6" ROUND SHANK</t>
  </si>
  <si>
    <t>SCREWDRIVER ROBERTSON #2 RED HANDLE 10"</t>
  </si>
  <si>
    <t>SCREWDRIVER PHILLIPS #1 X 4 IN</t>
  </si>
  <si>
    <t>CUTTER WISS STRAIGHT 10" YELLOW GRIP</t>
  </si>
  <si>
    <t>IDEAL 45-165 DATA / PHONE CABLE STRIPPER 3/16" TO 5/16"</t>
  </si>
  <si>
    <t>KNIFE SKINNING LINEMAN C/W HANDLE RING</t>
  </si>
  <si>
    <t>JONARD ES-1964 ELECTRICIAN'S SCISSORS</t>
  </si>
  <si>
    <t>CABLE CUTTER UNIVERSAL 8" ALPETH</t>
  </si>
  <si>
    <t>WRENCHM ADJUSTABLE, 6", EXTRA CAPACITY</t>
  </si>
  <si>
    <t>SECURITY KEY INSERT</t>
  </si>
  <si>
    <t>KLEIN TOOLS D507-12 12-INCH ADJUSTABLE WRENCH - EXTRA CAPACITY</t>
  </si>
  <si>
    <t>WRENCH HEX/SECURITY SCREWDRIVER FOR NID</t>
  </si>
  <si>
    <t>FLUKE NETWORKS 44007000 FLUKE HEX HEAD CAN WRENCH</t>
  </si>
  <si>
    <t>JONARD JIC-50212 12-INCH PUMP PLIERS</t>
  </si>
  <si>
    <t>FLUSH CUTTER 5" TAPERED NOSE XCELITE</t>
  </si>
  <si>
    <t>FIBREGLASS FISHPOLE TUFF-ROD XTRA FLEX</t>
  </si>
  <si>
    <t>ROPE TELUS STRINGLINE WHT 5/16 INCH</t>
  </si>
  <si>
    <t>SPUTTER PROBE WITH HOOK</t>
  </si>
  <si>
    <t>KLEIN SWIVEL HOOK WITH PLUNGER LATCH</t>
  </si>
  <si>
    <t>SHOVEL ROUND NOSE 5' FIBREGLASS HANDLE</t>
  </si>
  <si>
    <t>SMALL CLEANING WIRE BRUSH</t>
  </si>
  <si>
    <t>SUPER DUSTER NOZZLE VARIABLE TRIGGER</t>
  </si>
  <si>
    <t>COVERALLS DISPOSABLE C/W HOOD X-LARGE</t>
  </si>
  <si>
    <t>OVERALL BIB TRAFFIC SAFETY SIZE MEDIUM</t>
  </si>
  <si>
    <t>OVERALL BIB TRAFFIC SAFETY SIZE LARGE</t>
  </si>
  <si>
    <t>ADHESIVE BANDAID 7/8" X 3" FABRIC 16/PK</t>
  </si>
  <si>
    <t>ANTISEPTIC TOWELETTE 10/PK</t>
  </si>
  <si>
    <t>SPRAY WASP/HORNET 14 OZ CAN</t>
  </si>
  <si>
    <t>GLOVE LEATHER TIPLESS SIZE 9</t>
  </si>
  <si>
    <t>GLOVE LEATHER TIPLESS SIZE 11</t>
  </si>
  <si>
    <t>GLOVE KNIT LINER COLD WEATHER</t>
  </si>
  <si>
    <t>PARKING CONE 305MM (12") WEIGHTED</t>
  </si>
  <si>
    <t>GLOVE DISPOSABLE NITRILE BLUE XL 100/BX</t>
  </si>
  <si>
    <t>GLOVE DISPOSAL NITRILE BLUE LARGE 100/BX</t>
  </si>
  <si>
    <t>EARPLUG FOAM LASER LITE W/O CORD</t>
  </si>
  <si>
    <t>CORD EXTENSION 5M 3WIRE OUTDOOR GROUNDED</t>
  </si>
  <si>
    <t>SUPER DUSTER DUST REMOVER 300G NO NOZZLE</t>
  </si>
  <si>
    <t>FLUKE NETWORKS 22801009 TS22A TEST SET WITH SPEAKER PHONE</t>
  </si>
  <si>
    <t>TEST PROBE HANDHELD AMPLIFIER</t>
  </si>
  <si>
    <t>HAND SANITIZER 236M (8OZ) PUMP BOTTLE</t>
  </si>
  <si>
    <t>BIT #1 3/16 MASONRY</t>
  </si>
  <si>
    <t>BIT #5 5/16 MASONRY 4 3/4" LONG</t>
  </si>
  <si>
    <t>BLADE HACKSAW 12" 18TPI LENNOX 10/PK</t>
  </si>
  <si>
    <t>LINE CORD 25' 6C SPADE-MINI</t>
  </si>
  <si>
    <t>TUBING SLOTTED FLEX 7/8" DIA 15'LONG</t>
  </si>
  <si>
    <t>MOLDING, MRC17-E-IV, 1-3/4" X 8FT, IVORY, 160'/CTN</t>
  </si>
  <si>
    <t>MOLDING, PLASTIC, SQUARE, MRC12-E-IV, IVORY, 1-1/2" X 8FT, 160'/CTN</t>
  </si>
  <si>
    <t>FITTING, TEE, FITTING, MRF17-TRT-E-IV, 1-3/4", IVORY, 10PK/EA</t>
  </si>
  <si>
    <t>FITTING, TEE, FITTING, MRF12-TRT-E-IV, 1-1/2", IVORY, 10PK/EA</t>
  </si>
  <si>
    <t>FITTING, CORNER, OUTSIDE, MRF17-OCR-E-IV, 1-3/4", IVORY, 10PK/EA</t>
  </si>
  <si>
    <t>FITTING, CORNER, OUTSIDE, MRF12-OCR-E-IV, 1-1/2", IVORY, 10PK/EA</t>
  </si>
  <si>
    <t>FITTING, CORNER, INSIDE, MRF17-ICR-E-IV, 1-3/4", IVORY, 10PK/EA</t>
  </si>
  <si>
    <t>FITTING, CORNER, INSIDE, MRF12-ICR-E-IV, 1-1/2", IVORY, 10PK/EA</t>
  </si>
  <si>
    <t>FITTING, CORNER, RIGHT ANGLE, MRF17-FER-E-IV, 1-3/4", IVORY, 10PK/EA</t>
  </si>
  <si>
    <t>FITTING, CORNER, RIGHT ANGLE, MRF12-FER-E-IV, 1-1/2", IVORY, 10PK/EA</t>
  </si>
  <si>
    <t>FITTING, END CAP, MRF17-EC-E-IV, 1-3/4", IVORY, 10PK/EA</t>
  </si>
  <si>
    <t>FITTING, END CAP, MRF12-EC-E-IV, 1-1/2", IVORY, 10PK/EA</t>
  </si>
  <si>
    <t>FITTING, COVER, SEAM, MRF17-JC-E-IV, 1-3/4", IVORY, 10PK/EA</t>
  </si>
  <si>
    <t>FITTING, COVER, SEAM, MRF12-JC-E-IV, 1-1/2", IVORY, 10PK/EA</t>
  </si>
  <si>
    <t>FITTING, TRANSITION, MRF17-TF-E-IV, 1-3/4", IVORY, 10 PER PACK</t>
  </si>
  <si>
    <t>FITTING, TRANSITION, MRF12-TF-E-IV, 1-1/2", IVORY, 10 PER PACK</t>
  </si>
  <si>
    <t>FITTING, SLACK BOX ENTRY, MRF17-SBE-E-IV</t>
  </si>
  <si>
    <t>FITTING, SLACK BOX ENTRY, MRF12-SBE-E-IV</t>
  </si>
  <si>
    <t>TMBX4POSN 100 PAIR DISTN MNT FOR BIX TYP</t>
  </si>
  <si>
    <t>MOUNT BIX 50PR WITH SNAP-ON COVER</t>
  </si>
  <si>
    <t>BUFFER TUBE DESIGNATION STRIP-BLUE</t>
  </si>
  <si>
    <t>CL</t>
  </si>
  <si>
    <t>PR</t>
  </si>
  <si>
    <t>MT</t>
  </si>
  <si>
    <t>CS</t>
  </si>
  <si>
    <t>SO</t>
  </si>
  <si>
    <t>CABINET FDH 864F PAD STR-F RIB-D SCA100M</t>
  </si>
  <si>
    <t>3000 PR  26   DCTZ</t>
  </si>
  <si>
    <t>CABLE 400PR 22GA SEALED ALPETH</t>
  </si>
  <si>
    <t>CABLE 600PR 22GA SEALED ALPETH</t>
  </si>
  <si>
    <t>CABLE ALPETH 50PR 24GA FIGURE 8</t>
  </si>
  <si>
    <t>CABLE CELFIL 50PR 26GA 80C</t>
  </si>
  <si>
    <t>CABLE CELFIL 80C 1200PR 24GA</t>
  </si>
  <si>
    <t>CABLE PLENUM 25PR 24GA 75M/RL CATEGORY 3</t>
  </si>
  <si>
    <t>CABLE RISER 300PR 24GA</t>
  </si>
  <si>
    <t>CABLE U/G DROP 4X24GA CAT 5E PEPJ 1400</t>
  </si>
  <si>
    <t>DROP 6PR 22GA FIGURE 8</t>
  </si>
  <si>
    <t>DROP 6PR 22GA FIGURE 8 650 MR/REEL</t>
  </si>
  <si>
    <t>WIRE XCONN 1 PR 24 GA RED BLACK-BLCK RED</t>
  </si>
  <si>
    <t>200 PR 22 CELFIL/BJAB</t>
  </si>
  <si>
    <t>300 PR 22 CELFIL/BJAB</t>
  </si>
  <si>
    <t>50 PR 19 CELFIL/BJBB</t>
  </si>
  <si>
    <t>CABLE 100PR 24GA SEALED ALPETH</t>
  </si>
  <si>
    <t>CABLE 12PR 19GA FILLED</t>
  </si>
  <si>
    <t>CABLE 12PR 22GA FILLED</t>
  </si>
  <si>
    <t>CABLE 12PR 24GA FILLED</t>
  </si>
  <si>
    <t>CABLE 200PR 24GA SEALED ALPETH</t>
  </si>
  <si>
    <t>CABLE 25PR 24GA SEALED ALPETH</t>
  </si>
  <si>
    <t>CABLE 300PR 24GA SEALED ALPETH</t>
  </si>
  <si>
    <t>Cable 400 PR 26 CELFIL/BJTB</t>
  </si>
  <si>
    <t>CABLE 400PR 24GA SEALED ALPETH</t>
  </si>
  <si>
    <t>CABLE 4PR 24AWG CMX OUTDOOR CAT5E</t>
  </si>
  <si>
    <t>Cable 600 PR 26 CELFIL/BJTB</t>
  </si>
  <si>
    <t>CABLE 6PR 19GA FILLED</t>
  </si>
  <si>
    <t>CABLE 6PR 22GA CELFIL 80C</t>
  </si>
  <si>
    <t>CABLE ALPETH 25PR 24GA FIGURE 8</t>
  </si>
  <si>
    <t>CABLE ALPETH UNFILLED 50PR 24GA</t>
  </si>
  <si>
    <t>CABLE ALPETH UNFILLED 600PR 24GA</t>
  </si>
  <si>
    <t>CABLE ALPETH UNFILLED 900PR 24GA</t>
  </si>
  <si>
    <t>CABLE ALPETH UNFILLED 900PR 26GA</t>
  </si>
  <si>
    <t>CABLE CELFIL 100PR 22GA 80C</t>
  </si>
  <si>
    <t>CABLE CELFIL 100PR 24GA 80C</t>
  </si>
  <si>
    <t>CABLE CELFIL 200PR 24GA 80C</t>
  </si>
  <si>
    <t>CABLE CELFIL 25PR 19GA 80C</t>
  </si>
  <si>
    <t>CABLE CELFIL 25PR 22GA 80C</t>
  </si>
  <si>
    <t>CABLE CELFIL 25PR 24GA 80C</t>
  </si>
  <si>
    <t>CABLE CELFIL 300PR 24GA 80C</t>
  </si>
  <si>
    <t>CABLE CELFIL 400PR 22GA 80C</t>
  </si>
  <si>
    <t>CABLE CELFIL 400PR 24GA 80C</t>
  </si>
  <si>
    <t>CABLE CELFIL 50PR 22GA 80C</t>
  </si>
  <si>
    <t>CABLE CELFIL 50PR 24GA 80C</t>
  </si>
  <si>
    <t>CABLE CELFIL 600PR 22GA 80C</t>
  </si>
  <si>
    <t>CABLE CELFIL 600PR 24GA 80C</t>
  </si>
  <si>
    <t>CABLE CELFIL 6PR 24GA 80C</t>
  </si>
  <si>
    <t>CABLE CELFIL 80C 100PR 24GA 100M RL</t>
  </si>
  <si>
    <t>CABLE CELFiL 80C 25PR 22GA 100M COI</t>
  </si>
  <si>
    <t>CABLE CELFIL 80C 25PR 24GA 100M COI</t>
  </si>
  <si>
    <t>CABLE CELFIL 80C 50PR 24GA 100M COIL</t>
  </si>
  <si>
    <t>CABLE CELFIL 80C 900PR 26GA</t>
  </si>
  <si>
    <t>CABLE CELFIL 900PR 24GA 80C</t>
  </si>
  <si>
    <t>CABLE DROP COMP 4F SM/4X24G CAT5E (PEPJ)</t>
  </si>
  <si>
    <t>CABLE DUCTCEL UNFILLED MUD 24GA 600PR</t>
  </si>
  <si>
    <t>CABLE RISER 100PR 24GA</t>
  </si>
  <si>
    <t>CABLE RISER 200PR 24GA</t>
  </si>
  <si>
    <t>CABLE RISER 50PR 24GA</t>
  </si>
  <si>
    <t>DROP AERIAL 4 PAIR SKY BLUE 100M/BX</t>
  </si>
  <si>
    <t>WIRE JUMPER 2C 22GA WHITE/RED 1000M/CL</t>
  </si>
  <si>
    <t>WIRE RURAL DISTN 12PR22GA 600 MR/REEL</t>
  </si>
  <si>
    <t>WIRE XCONN 1 PR 24 GA RED GREEN-GRN RED</t>
  </si>
  <si>
    <t>WIRE XCONN 1 PR 24 GA YEL BLUE-BLUE YEL</t>
  </si>
  <si>
    <t>TVC - Stock</t>
  </si>
  <si>
    <t>TVC - Non Stock</t>
  </si>
  <si>
    <t>TELUS - SAP</t>
  </si>
  <si>
    <t>Tape, Replacement, White, for Cletop</t>
  </si>
  <si>
    <t>Sheath Scuff, 4435, 341d 80 s/cast shth scu 1inx25yd rl</t>
  </si>
  <si>
    <t>3M 98040054565 Fire Barrier Sealant 10.1 FL. Ounces Cartridge</t>
  </si>
  <si>
    <t>Track for Clear Track Hall1,CLR-TRK-HALL1-125-18</t>
  </si>
  <si>
    <t>Track cover, CLR-TRK-HALL18-CVR</t>
  </si>
  <si>
    <t>Fiber, CLR-HALLM-750-12F-000-000-W</t>
  </si>
  <si>
    <t>Fiber, Micro MOD,CLR-HALLM-300-12F-SCA-000-W</t>
  </si>
  <si>
    <t>Fiber, CLR-HALLM-600-12F-SCA-000-W</t>
  </si>
  <si>
    <t>Fiber, CLR TRK 12-F Micro-Mod 150FT MTPAM/XXX</t>
  </si>
  <si>
    <t>Fiber, CLR TRK 12-F Micro-Mod 300FT MTPAM/XXX</t>
  </si>
  <si>
    <t>Fiber, CLR TRK 12-F Micro-Mod 600FT MTPAM/XXX</t>
  </si>
  <si>
    <t>Entry Module Clear Track H,CLR-SMALL-POE-250UM-SCA-WH</t>
  </si>
  <si>
    <t>Cover for Entry Module,ILU-SM-POE-WC-IV ONE PASS</t>
  </si>
  <si>
    <t>Tool for Hallway Track,Clear Track, CLR-TOOL</t>
  </si>
  <si>
    <t>Belt Holder for Spool, Clear Track Wall Compatility</t>
  </si>
  <si>
    <t>CLEAR TRACK WALL COMPATIBILITY TEST KIT</t>
  </si>
  <si>
    <t>Strip,Test,Clear track,CLR-TEST-STRIPS CL TRK SUR COMP T STRIPS</t>
  </si>
  <si>
    <t>Clear Track Plastic 16" Bridge Strip, 20</t>
  </si>
  <si>
    <t>Strip,Bridge, ILU-BRIDGE-125-60 1PASS, 12.50</t>
  </si>
  <si>
    <t>Track,CLR-TRK-205-01-000CLRTRACK TRKONLY205'SM</t>
  </si>
  <si>
    <t>Cover, Clear Track,CLR-TRK-CVR CLR TRACK CVR 1M 305 PCS</t>
  </si>
  <si>
    <t>Fiber, CLR-FBR-600-01-000 CLEAR FIBER 600FT 900</t>
  </si>
  <si>
    <t>Tool,Fiber Installation,Clear Track,CLR-TOOL CLEAR TRACK FBER INST</t>
  </si>
  <si>
    <t>Panel,LP432,36FPT,36F feed,31M, 2SPLTR T</t>
  </si>
  <si>
    <t>Kit, Expansion bracket for 432F Rereofit, FDH Panel</t>
  </si>
  <si>
    <t>Kit, Quazite Patching, Polymer Concrete, Quart Size</t>
  </si>
  <si>
    <t>Kit, Quazite Patching, Polymer Concrete, Gallon Size</t>
  </si>
  <si>
    <t>Seal, T-DUX-150-KIT, 150mm, 6" Duct</t>
  </si>
  <si>
    <t>Dust mask/mist respirator disposable, 8210 n95 20/bx 8bx/cs</t>
  </si>
  <si>
    <t>Duct Seal Kit, Single Barrel, 6oz, 12 EA/case</t>
  </si>
  <si>
    <t>Fiber Transition Casev 2.0, w/cover,White, SC/APC</t>
  </si>
  <si>
    <t>CONNECTOR MINIWEDGE (C-Lok) GRD #6AWG TO #1/0-2/0AWG</t>
  </si>
  <si>
    <t>CONNECTOR MINIWEDGE (C-Lok) GRD #6AWG TO #2AWG</t>
  </si>
  <si>
    <t>CONNECTOR MINIWEDGE (C-Lok) GRD #6AWG TO #3/0AWG</t>
  </si>
  <si>
    <t>CONNECTOR MINIWEDGE (C-Lok) GRD #6AWG TO #10-14AWG</t>
  </si>
  <si>
    <t>Patch Panel, 12 Port, Cat6 plugs staggered for DPU, 50 FT</t>
  </si>
  <si>
    <t>Cable, Fiber, 288f, Ribbon, Flex, Single Armour, Single Jacket</t>
  </si>
  <si>
    <t>Cable, Fiber, 432f, Ribbon, Flex, Single Armour, Single Jacket</t>
  </si>
  <si>
    <t>PLACING</t>
  </si>
  <si>
    <t>Module, Compact, Invisilight, w/ SCA adapter</t>
  </si>
  <si>
    <t>Sweep, 4"X45Dx60R PVC SPXBE Grey Long Superduct</t>
  </si>
  <si>
    <t>Racking microdpu 6 position no cover</t>
  </si>
  <si>
    <t>Racking microdpu 6 position c/w cover</t>
  </si>
  <si>
    <t>InvisiLight Multi-Fiber Bulk Reel-N-Box MPHW-012A-DRW-4-2.0MM-RIB-2000FT</t>
  </si>
  <si>
    <t>Do Not Count</t>
  </si>
  <si>
    <t>Quantity</t>
  </si>
  <si>
    <t>Replacement SAP</t>
  </si>
  <si>
    <t>Change</t>
  </si>
  <si>
    <t>Needed #</t>
  </si>
  <si>
    <t>Current #</t>
  </si>
  <si>
    <t># per Major</t>
  </si>
  <si>
    <t>Build Type</t>
  </si>
  <si>
    <t>Build Types</t>
  </si>
  <si>
    <t>Revision:</t>
  </si>
  <si>
    <t>Revision Date:</t>
  </si>
  <si>
    <t>Changes between revision 0 and 1</t>
  </si>
  <si>
    <t>Revision 1 Issued by USER on DATE/TIME</t>
  </si>
  <si>
    <t>Previous Qty</t>
  </si>
  <si>
    <t>Current Qty</t>
  </si>
  <si>
    <t>Qty Change</t>
  </si>
  <si>
    <t>Material Desciption</t>
  </si>
  <si>
    <t>Major Description</t>
  </si>
  <si>
    <t>Minor Description</t>
  </si>
  <si>
    <t>Lead Time</t>
  </si>
  <si>
    <t>Revisions</t>
  </si>
  <si>
    <t>row1</t>
  </si>
  <si>
    <t>row2</t>
  </si>
  <si>
    <t>Create Revision</t>
  </si>
  <si>
    <t>Check Minors</t>
  </si>
  <si>
    <t>Obsolete Items</t>
  </si>
  <si>
    <t>Button</t>
  </si>
  <si>
    <t>Notes</t>
  </si>
  <si>
    <t>Transfer Values</t>
  </si>
  <si>
    <t>Transfer BOM</t>
  </si>
  <si>
    <t>Cut Sheet</t>
  </si>
  <si>
    <t>Enclosure, Media P3000, 1" deep, nrw lid</t>
  </si>
  <si>
    <t>METAL LID BONDING/GROUNDING COVER KIT</t>
  </si>
  <si>
    <t>G4 GREEN HORNET FOSC 4" BASE 11"DOME</t>
  </si>
  <si>
    <t>GREEN HORNET GROMMET 9.53MM-11.13MM OVAL</t>
  </si>
  <si>
    <t>Coil, Load, B152-01/662-88MH, Single Coil</t>
  </si>
  <si>
    <t>VAULT SERVICE 1.2M X 1.2M C/W STEEL LID</t>
  </si>
  <si>
    <t>Kit, Wall Mount, FET3 Stand Off</t>
  </si>
  <si>
    <t>EYEBOLT ANGLE 19MM X 450MMÂ  18"</t>
  </si>
  <si>
    <t>DIRECT TO SITE_Riser, 832 - 150mm high c/w strut (BC INTERIOR)</t>
  </si>
  <si>
    <t>Connector, PICABOND, 24-19 AWG, WR, LP, Yellow</t>
  </si>
  <si>
    <t>TVC-SFM</t>
  </si>
  <si>
    <t>PANEL FIBRE PATCH PIC 24F WALL CORN</t>
  </si>
  <si>
    <t>TVC - Direct to Site</t>
  </si>
  <si>
    <t>Update Data</t>
  </si>
  <si>
    <t>Column</t>
  </si>
  <si>
    <t>Must be numeric</t>
  </si>
  <si>
    <t>General</t>
  </si>
  <si>
    <t>To be used as a cable cut sheet. Input the SAP#, quantity of cable needed and optionally the work locations.</t>
  </si>
  <si>
    <t>Checks if any of the items listed are obsolete and replaces them with the updated version.
-Add replacements on the "Obsolete Items" sheet.</t>
  </si>
  <si>
    <t>No data validation has been put in columns to allow for free editing of the cells. This makes organization extrememly important.
-Try to follow the previous patterns when updating data. (ie. Category should read fibRE, not fibER)</t>
  </si>
  <si>
    <t>Allows bulk-uploading of SAP #s and associated quantities. Fill in the SAP#s and Quantities, then select either the "Add" button which will add these values to the ones currently on the Material sheet, or "Replace" which will replace the values currently on the Material sheet.</t>
  </si>
  <si>
    <t>Allows an old BOM to be transferred into the current file. Click this button and select the old BOM you want transferred. The old quantities will be added to the ones on the current sheet.</t>
  </si>
  <si>
    <r>
      <t>Creates a new entry in the "Revision History" sheet detailing which items have been changed</t>
    </r>
    <r>
      <rPr>
        <b/>
        <sz val="11"/>
        <color theme="1"/>
        <rFont val="Calibri"/>
        <family val="2"/>
        <scheme val="minor"/>
      </rPr>
      <t xml:space="preserve"> since opening the excel sheet.</t>
    </r>
    <r>
      <rPr>
        <sz val="11"/>
        <color theme="1"/>
        <rFont val="Calibri"/>
        <family val="2"/>
        <scheme val="minor"/>
      </rPr>
      <t xml:space="preserve"> (Open to suggestions on making this better)</t>
    </r>
  </si>
  <si>
    <t>Based on the selected Build Type, this will check over the minor materials required for each Major Material.
- On the "Minor Major Relationships" fill in the Build Type, Major SAP, Minor SAP and # Minor per Major
- Build type is used as categories, one Major Materials can populate multiple sets of Minor Materials if they are under different build type.
-This will set the minor material amount on the Material Order Form to the "Needed #" amount.</t>
  </si>
  <si>
    <t>Used mainly to update the pricing each month. As of 3/19/2021 can also update Order Stream, Major/Minor, and Category.
-Copy the new pricing data into cell A1 of the "New Import Data sheet". Materials team should send out a file with new TVC pricing once a month, and Telus will intermittently send out a revised BOM template as well. Our template should be as aligned with TVC and Telus' files as possible.
-Select the Column you want to update
-Input the row that this Column's info is contained in the "New Import Data" sheet
-Column will be updated to the new standards
-Will also give a list of SAP#s that may be new &amp; not found in the BOM template. Most of these are likely N/A and don't need to be added, but they will be listed anyway.</t>
  </si>
  <si>
    <t>Items listed as N/A are not available and should not go on the BOM unless absolutely necessary.</t>
  </si>
  <si>
    <t>Category</t>
  </si>
  <si>
    <t>Supplier</t>
  </si>
  <si>
    <t>Description</t>
  </si>
  <si>
    <t>Qty Required</t>
  </si>
  <si>
    <t>RV</t>
  </si>
  <si>
    <t>Total Cost:</t>
  </si>
  <si>
    <t>Bill of Materials</t>
  </si>
  <si>
    <t>Project:</t>
  </si>
  <si>
    <t>Address</t>
  </si>
  <si>
    <t>Date:</t>
  </si>
  <si>
    <t>Part ID</t>
  </si>
  <si>
    <t>Minor Part ID</t>
  </si>
  <si>
    <t>Major Part ID</t>
  </si>
  <si>
    <t>Test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</si>
</sst>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164" formatCode="_-&quot;$&quot;* #,##0.00_-;\-&quot;$&quot;* #,##0.00_-;_-&quot;$&quot;* &quot;-&quot;??_-;_-@_-"/>
    <numFmt numFmtId="165" formatCode="_-* #,##0.00_-;\-* #,##0.00_-;_-* &quot;-&quot;??_-;_-@_-"/>
    <numFmt numFmtId="166" formatCode="yyyy\-mm\-dd;@"/>
  </numFmts>
  <fonts count="48" x14ac:knownFonts="1">
    <font>
      <sz val="11"/>
      <color theme="1"/>
      <name val="Calibri"/>
      <family val="2"/>
      <scheme val="minor"/>
    </font>
    <font>
      <b/>
      <sz val="18"/>
      <name val="Arial"/>
      <family val="2"/>
    </font>
    <font>
      <b/>
      <sz val="11"/>
      <color theme="1"/>
      <name val="Calibri"/>
      <family val="2"/>
      <scheme val="minor"/>
    </font>
    <font>
      <sz val="10"/>
      <name val="Arial"/>
      <family val="2"/>
    </font>
    <font>
      <sz val="11"/>
      <name val="Calibri"/>
      <family val="2"/>
      <scheme val="minor"/>
    </font>
    <font>
      <sz val="11"/>
      <color theme="0"/>
      <name val="Calibri"/>
      <family val="2"/>
      <scheme val="minor"/>
    </font>
    <font>
      <b/>
      <sz val="18"/>
      <color theme="0"/>
      <name val="Arial"/>
      <family val="2"/>
    </font>
    <font>
      <sz val="11"/>
      <name val="Arial"/>
      <family val="2"/>
    </font>
    <font>
      <sz val="11"/>
      <color theme="1"/>
      <name val="Calibri"/>
      <family val="2"/>
      <scheme val="minor"/>
    </font>
    <font>
      <sz val="11"/>
      <color indexed="8"/>
      <name val="Calibri"/>
      <family val="2"/>
    </font>
    <font>
      <sz val="11"/>
      <color indexed="8"/>
      <name val="Calibri"/>
      <family val="2"/>
      <charset val="162"/>
    </font>
    <font>
      <sz val="11"/>
      <color indexed="9"/>
      <name val="Calibri"/>
      <family val="2"/>
      <charset val="162"/>
    </font>
    <font>
      <i/>
      <sz val="11"/>
      <color indexed="23"/>
      <name val="Calibri"/>
      <family val="2"/>
      <charset val="162"/>
    </font>
    <font>
      <b/>
      <sz val="18"/>
      <color indexed="56"/>
      <name val="Cambria"/>
      <family val="2"/>
      <charset val="162"/>
    </font>
    <font>
      <sz val="11"/>
      <color indexed="52"/>
      <name val="Calibri"/>
      <family val="2"/>
      <charset val="162"/>
    </font>
    <font>
      <b/>
      <sz val="15"/>
      <color indexed="56"/>
      <name val="Calibri"/>
      <family val="2"/>
      <charset val="162"/>
    </font>
    <font>
      <b/>
      <sz val="13"/>
      <color indexed="56"/>
      <name val="Calibri"/>
      <family val="2"/>
      <charset val="162"/>
    </font>
    <font>
      <b/>
      <sz val="11"/>
      <color indexed="56"/>
      <name val="Calibri"/>
      <family val="2"/>
      <charset val="162"/>
    </font>
    <font>
      <b/>
      <sz val="11"/>
      <color indexed="63"/>
      <name val="Calibri"/>
      <family val="2"/>
      <charset val="162"/>
    </font>
    <font>
      <sz val="11"/>
      <color indexed="62"/>
      <name val="Calibri"/>
      <family val="2"/>
      <charset val="162"/>
    </font>
    <font>
      <b/>
      <sz val="11"/>
      <color indexed="52"/>
      <name val="Calibri"/>
      <family val="2"/>
      <charset val="162"/>
    </font>
    <font>
      <b/>
      <sz val="11"/>
      <color indexed="9"/>
      <name val="Calibri"/>
      <family val="2"/>
      <charset val="162"/>
    </font>
    <font>
      <sz val="11"/>
      <color indexed="17"/>
      <name val="Calibri"/>
      <family val="2"/>
      <charset val="162"/>
    </font>
    <font>
      <sz val="11"/>
      <color indexed="20"/>
      <name val="Calibri"/>
      <family val="2"/>
      <charset val="162"/>
    </font>
    <font>
      <sz val="11"/>
      <color indexed="60"/>
      <name val="Calibri"/>
      <family val="2"/>
      <charset val="162"/>
    </font>
    <font>
      <b/>
      <sz val="11"/>
      <color indexed="8"/>
      <name val="Calibri"/>
      <family val="2"/>
      <charset val="162"/>
    </font>
    <font>
      <sz val="11"/>
      <color indexed="10"/>
      <name val="Calibri"/>
      <family val="2"/>
      <charset val="162"/>
    </font>
    <font>
      <sz val="10"/>
      <color theme="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rgb="FF000000"/>
      <name val="Calibri"/>
      <family val="2"/>
    </font>
    <font>
      <sz val="11"/>
      <color theme="0"/>
      <name val="Arial"/>
      <family val="2"/>
    </font>
    <font>
      <sz val="8"/>
      <name val="Calibri"/>
      <family val="2"/>
      <scheme val="minor"/>
    </font>
    <font>
      <sz val="9"/>
      <color indexed="81"/>
      <name val="Tahoma"/>
      <family val="2"/>
    </font>
    <font>
      <b/>
      <sz val="9"/>
      <color indexed="81"/>
      <name val="Tahoma"/>
      <family val="2"/>
    </font>
    <font>
      <b/>
      <sz val="10"/>
      <color theme="0"/>
      <name val="Calibri"/>
      <family val="2"/>
      <scheme val="minor"/>
    </font>
  </fonts>
  <fills count="60">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26"/>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1"/>
        <bgColor theme="1"/>
      </patternFill>
    </fill>
    <fill>
      <patternFill patternType="solid">
        <fgColor theme="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left>
      <right/>
      <top/>
      <bottom style="thick">
        <color theme="0"/>
      </bottom>
      <diagonal/>
    </border>
  </borders>
  <cellStyleXfs count="140">
    <xf numFmtId="0" fontId="0" fillId="0" borderId="0"/>
    <xf numFmtId="0" fontId="8" fillId="0" borderId="0"/>
    <xf numFmtId="0" fontId="3" fillId="0" borderId="0"/>
    <xf numFmtId="0" fontId="3" fillId="0" borderId="0"/>
    <xf numFmtId="0" fontId="3" fillId="0" borderId="0"/>
    <xf numFmtId="0" fontId="8" fillId="0" borderId="0"/>
    <xf numFmtId="44" fontId="9" fillId="0" borderId="0" applyFont="0" applyFill="0" applyBorder="0" applyAlignment="0" applyProtection="0"/>
    <xf numFmtId="0" fontId="8" fillId="0" borderId="0"/>
    <xf numFmtId="0" fontId="3" fillId="0" borderId="0"/>
    <xf numFmtId="0" fontId="3" fillId="0" borderId="0"/>
    <xf numFmtId="0" fontId="8" fillId="0" borderId="0"/>
    <xf numFmtId="0" fontId="8" fillId="0" borderId="0"/>
    <xf numFmtId="0" fontId="8" fillId="0" borderId="0"/>
    <xf numFmtId="0" fontId="8" fillId="0" borderId="0"/>
    <xf numFmtId="0" fontId="8" fillId="0" borderId="0"/>
    <xf numFmtId="0" fontId="8" fillId="0" borderId="0"/>
    <xf numFmtId="0" fontId="3" fillId="0" borderId="0"/>
    <xf numFmtId="0" fontId="8" fillId="0" borderId="0"/>
    <xf numFmtId="0" fontId="8" fillId="0" borderId="0"/>
    <xf numFmtId="44" fontId="3" fillId="0" borderId="0" applyFont="0" applyFill="0" applyBorder="0" applyAlignment="0" applyProtection="0"/>
    <xf numFmtId="0" fontId="3" fillId="0" borderId="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0" fillId="13"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0" fillId="14" borderId="0" applyNumberFormat="0" applyBorder="0" applyAlignment="0" applyProtection="0"/>
    <xf numFmtId="0" fontId="11" fillId="15" borderId="0" applyNumberFormat="0" applyBorder="0" applyAlignment="0" applyProtection="0"/>
    <xf numFmtId="0" fontId="11" fillId="12" borderId="0" applyNumberFormat="0" applyBorder="0" applyAlignment="0" applyProtection="0"/>
    <xf numFmtId="0" fontId="11" fillId="13"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7" fillId="0" borderId="6" applyNumberFormat="0" applyFill="0" applyAlignment="0" applyProtection="0"/>
    <xf numFmtId="0" fontId="17" fillId="0" borderId="0" applyNumberFormat="0" applyFill="0" applyBorder="0" applyAlignment="0" applyProtection="0"/>
    <xf numFmtId="0" fontId="18" fillId="19" borderId="7"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44" fontId="3" fillId="0" borderId="0" applyFont="0" applyFill="0" applyBorder="0" applyAlignment="0" applyProtection="0"/>
    <xf numFmtId="0" fontId="19" fillId="10" borderId="8" applyNumberFormat="0" applyAlignment="0" applyProtection="0"/>
    <xf numFmtId="0" fontId="20" fillId="19" borderId="8" applyNumberFormat="0" applyAlignment="0" applyProtection="0"/>
    <xf numFmtId="0" fontId="21" fillId="20" borderId="9" applyNumberFormat="0" applyAlignment="0" applyProtection="0"/>
    <xf numFmtId="0" fontId="22" fillId="7" borderId="0" applyNumberFormat="0" applyBorder="0" applyAlignment="0" applyProtection="0"/>
    <xf numFmtId="0" fontId="23" fillId="6" borderId="0" applyNumberFormat="0" applyBorder="0" applyAlignment="0" applyProtection="0"/>
    <xf numFmtId="0" fontId="3" fillId="21" borderId="10" applyNumberFormat="0" applyFont="0" applyAlignment="0" applyProtection="0"/>
    <xf numFmtId="0" fontId="24" fillId="22" borderId="0" applyNumberFormat="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5" fillId="0" borderId="11" applyNumberFormat="0" applyFill="0" applyAlignment="0" applyProtection="0"/>
    <xf numFmtId="0" fontId="26" fillId="0" borderId="0" applyNumberFormat="0" applyFill="0" applyBorder="0" applyAlignment="0" applyProtection="0"/>
    <xf numFmtId="0" fontId="11" fillId="23"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26" borderId="0" applyNumberFormat="0" applyBorder="0" applyAlignment="0" applyProtection="0"/>
    <xf numFmtId="0" fontId="3" fillId="0" borderId="0"/>
    <xf numFmtId="0" fontId="8" fillId="0" borderId="0"/>
    <xf numFmtId="0" fontId="8" fillId="4" borderId="2" applyNumberFormat="0" applyFont="0" applyAlignment="0" applyProtection="0"/>
    <xf numFmtId="0" fontId="8" fillId="0" borderId="0"/>
    <xf numFmtId="0" fontId="8" fillId="0" borderId="0"/>
    <xf numFmtId="0" fontId="8" fillId="0" borderId="0"/>
    <xf numFmtId="164" fontId="8" fillId="0" borderId="0" applyFont="0" applyFill="0" applyBorder="0" applyAlignment="0" applyProtection="0"/>
    <xf numFmtId="0" fontId="3" fillId="0" borderId="0"/>
    <xf numFmtId="165" fontId="3"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 fillId="0" borderId="0"/>
    <xf numFmtId="0" fontId="8" fillId="0" borderId="0"/>
    <xf numFmtId="0" fontId="8" fillId="0" borderId="0"/>
    <xf numFmtId="0" fontId="3" fillId="0" borderId="0"/>
    <xf numFmtId="0" fontId="8" fillId="0" borderId="0"/>
    <xf numFmtId="0" fontId="8" fillId="4" borderId="2" applyNumberFormat="0" applyFont="0" applyAlignment="0" applyProtection="0"/>
    <xf numFmtId="0" fontId="8" fillId="0" borderId="0"/>
    <xf numFmtId="0" fontId="8" fillId="0" borderId="0"/>
    <xf numFmtId="0" fontId="8" fillId="0" borderId="0"/>
    <xf numFmtId="164" fontId="8" fillId="0" borderId="0" applyFont="0" applyFill="0" applyBorder="0" applyAlignment="0" applyProtection="0"/>
    <xf numFmtId="0" fontId="3" fillId="0" borderId="0"/>
    <xf numFmtId="0" fontId="8" fillId="0" borderId="0"/>
    <xf numFmtId="0" fontId="8" fillId="0" borderId="0"/>
    <xf numFmtId="0" fontId="28" fillId="0" borderId="0" applyNumberFormat="0" applyFill="0" applyBorder="0" applyAlignment="0" applyProtection="0"/>
    <xf numFmtId="0" fontId="29" fillId="0" borderId="12" applyNumberFormat="0" applyFill="0" applyAlignment="0" applyProtection="0"/>
    <xf numFmtId="0" fontId="30" fillId="0" borderId="13" applyNumberFormat="0" applyFill="0" applyAlignment="0" applyProtection="0"/>
    <xf numFmtId="0" fontId="31" fillId="0" borderId="14" applyNumberFormat="0" applyFill="0" applyAlignment="0" applyProtection="0"/>
    <xf numFmtId="0" fontId="31" fillId="0" borderId="0" applyNumberFormat="0" applyFill="0" applyBorder="0" applyAlignment="0" applyProtection="0"/>
    <xf numFmtId="0" fontId="32" fillId="27" borderId="0" applyNumberFormat="0" applyBorder="0" applyAlignment="0" applyProtection="0"/>
    <xf numFmtId="0" fontId="33" fillId="28" borderId="0" applyNumberFormat="0" applyBorder="0" applyAlignment="0" applyProtection="0"/>
    <xf numFmtId="0" fontId="34" fillId="29" borderId="0" applyNumberFormat="0" applyBorder="0" applyAlignment="0" applyProtection="0"/>
    <xf numFmtId="0" fontId="35" fillId="30" borderId="15" applyNumberFormat="0" applyAlignment="0" applyProtection="0"/>
    <xf numFmtId="0" fontId="36" fillId="31" borderId="16" applyNumberFormat="0" applyAlignment="0" applyProtection="0"/>
    <xf numFmtId="0" fontId="37" fillId="31" borderId="15" applyNumberFormat="0" applyAlignment="0" applyProtection="0"/>
    <xf numFmtId="0" fontId="38" fillId="0" borderId="17" applyNumberFormat="0" applyFill="0" applyAlignment="0" applyProtection="0"/>
    <xf numFmtId="0" fontId="39" fillId="32" borderId="18" applyNumberFormat="0" applyAlignment="0" applyProtection="0"/>
    <xf numFmtId="0" fontId="40" fillId="0" borderId="0" applyNumberFormat="0" applyFill="0" applyBorder="0" applyAlignment="0" applyProtection="0"/>
    <xf numFmtId="0" fontId="8" fillId="4" borderId="2" applyNumberFormat="0" applyFont="0" applyAlignment="0" applyProtection="0"/>
    <xf numFmtId="0" fontId="41" fillId="0" borderId="0" applyNumberFormat="0" applyFill="0" applyBorder="0" applyAlignment="0" applyProtection="0"/>
    <xf numFmtId="0" fontId="2" fillId="0" borderId="19" applyNumberFormat="0" applyFill="0" applyAlignment="0" applyProtection="0"/>
    <xf numFmtId="0" fontId="5"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5" fillId="36" borderId="0" applyNumberFormat="0" applyBorder="0" applyAlignment="0" applyProtection="0"/>
    <xf numFmtId="0" fontId="5" fillId="37"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5" fillId="40" borderId="0" applyNumberFormat="0" applyBorder="0" applyAlignment="0" applyProtection="0"/>
    <xf numFmtId="0" fontId="5" fillId="4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5" fillId="44" borderId="0" applyNumberFormat="0" applyBorder="0" applyAlignment="0" applyProtection="0"/>
    <xf numFmtId="0" fontId="5" fillId="45"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5" fillId="48" borderId="0" applyNumberFormat="0" applyBorder="0" applyAlignment="0" applyProtection="0"/>
    <xf numFmtId="0" fontId="5" fillId="49"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5" fillId="52" borderId="0" applyNumberFormat="0" applyBorder="0" applyAlignment="0" applyProtection="0"/>
    <xf numFmtId="0" fontId="5" fillId="53"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5" fillId="56" borderId="0" applyNumberFormat="0" applyBorder="0" applyAlignment="0" applyProtection="0"/>
    <xf numFmtId="44" fontId="8" fillId="0" borderId="0" applyFont="0" applyFill="0" applyBorder="0" applyAlignment="0" applyProtection="0"/>
  </cellStyleXfs>
  <cellXfs count="44">
    <xf numFmtId="0" fontId="0" fillId="0" borderId="0" xfId="0"/>
    <xf numFmtId="0" fontId="0" fillId="0" borderId="0" xfId="0" applyProtection="1">
      <protection locked="0"/>
    </xf>
    <xf numFmtId="0" fontId="0" fillId="0" borderId="0" xfId="0" applyAlignment="1" applyProtection="1">
      <alignment horizontal="center"/>
      <protection locked="0"/>
    </xf>
    <xf numFmtId="0" fontId="0" fillId="0" borderId="0" xfId="0" applyAlignment="1" applyProtection="1">
      <alignment horizontal="left"/>
      <protection locked="0"/>
    </xf>
    <xf numFmtId="166" fontId="0" fillId="0" borderId="0" xfId="0" applyNumberFormat="1" applyAlignment="1" applyProtection="1">
      <alignment horizontal="center"/>
      <protection locked="0"/>
    </xf>
    <xf numFmtId="0" fontId="0" fillId="0" borderId="0" xfId="0" applyAlignment="1" applyProtection="1">
      <alignment horizontal="center"/>
    </xf>
    <xf numFmtId="0" fontId="0" fillId="0" borderId="20" xfId="0" applyFont="1" applyFill="1" applyBorder="1" applyAlignment="1" applyProtection="1">
      <alignment horizontal="center"/>
      <protection locked="0"/>
    </xf>
    <xf numFmtId="0" fontId="0" fillId="2" borderId="0" xfId="0" applyFill="1"/>
    <xf numFmtId="0" fontId="0" fillId="0" borderId="0" xfId="0" applyFill="1"/>
    <xf numFmtId="0" fontId="0" fillId="0" borderId="0" xfId="0" applyNumberFormat="1"/>
    <xf numFmtId="0" fontId="39" fillId="57" borderId="0" xfId="0" applyFont="1" applyFill="1"/>
    <xf numFmtId="0" fontId="39" fillId="58" borderId="23" xfId="0" applyFont="1" applyFill="1" applyBorder="1"/>
    <xf numFmtId="0" fontId="0" fillId="59" borderId="1" xfId="0" applyFill="1" applyBorder="1"/>
    <xf numFmtId="0" fontId="5" fillId="57" borderId="0" xfId="0" applyFont="1" applyFill="1"/>
    <xf numFmtId="0" fontId="2" fillId="3" borderId="1" xfId="0" applyFont="1" applyFill="1" applyBorder="1"/>
    <xf numFmtId="7" fontId="0" fillId="0" borderId="0" xfId="0" applyNumberFormat="1" applyAlignment="1" applyProtection="1">
      <alignment horizontal="center"/>
      <protection locked="0"/>
    </xf>
    <xf numFmtId="0" fontId="0" fillId="0" borderId="0" xfId="0" applyAlignment="1">
      <alignment wrapText="1"/>
    </xf>
    <xf numFmtId="1" fontId="0" fillId="0" borderId="20" xfId="0" applyNumberFormat="1" applyFont="1" applyFill="1" applyBorder="1" applyAlignment="1" applyProtection="1">
      <alignment horizontal="center"/>
      <protection locked="0"/>
    </xf>
    <xf numFmtId="7" fontId="0" fillId="0" borderId="20" xfId="139" applyNumberFormat="1" applyFont="1" applyFill="1" applyBorder="1" applyAlignment="1" applyProtection="1">
      <alignment horizontal="left"/>
      <protection locked="0"/>
    </xf>
    <xf numFmtId="44" fontId="0" fillId="0" borderId="20" xfId="139" applyFont="1" applyFill="1" applyBorder="1" applyAlignment="1" applyProtection="1">
      <alignment horizontal="left"/>
      <protection locked="0"/>
    </xf>
    <xf numFmtId="0" fontId="5" fillId="57" borderId="0" xfId="0" applyFont="1" applyFill="1" applyBorder="1" applyAlignment="1" applyProtection="1">
      <alignment horizontal="right"/>
      <protection locked="0"/>
    </xf>
    <xf numFmtId="0" fontId="5" fillId="57" borderId="0" xfId="0" applyFont="1" applyFill="1" applyBorder="1" applyAlignment="1" applyProtection="1">
      <alignment horizontal="left"/>
      <protection locked="0"/>
    </xf>
    <xf numFmtId="0" fontId="5" fillId="57" borderId="0" xfId="0" applyFont="1" applyFill="1" applyBorder="1" applyAlignment="1" applyProtection="1">
      <alignment horizontal="center"/>
      <protection locked="0"/>
    </xf>
    <xf numFmtId="0" fontId="43" fillId="57" borderId="0" xfId="0" applyFont="1" applyFill="1" applyBorder="1" applyAlignment="1" applyProtection="1">
      <alignment horizontal="right" vertical="top" wrapText="1"/>
      <protection locked="0"/>
    </xf>
    <xf numFmtId="0" fontId="5" fillId="57" borderId="0" xfId="0" applyFont="1" applyFill="1" applyBorder="1" applyAlignment="1" applyProtection="1">
      <protection locked="0"/>
    </xf>
    <xf numFmtId="49" fontId="5" fillId="57" borderId="0" xfId="0" applyNumberFormat="1" applyFont="1" applyFill="1" applyBorder="1" applyAlignment="1" applyProtection="1">
      <alignment horizontal="right"/>
      <protection locked="0"/>
    </xf>
    <xf numFmtId="1" fontId="0" fillId="0" borderId="20" xfId="0" applyNumberFormat="1" applyFont="1" applyFill="1" applyBorder="1" applyAlignment="1" applyProtection="1">
      <alignment horizontal="left"/>
      <protection locked="0"/>
    </xf>
    <xf numFmtId="0" fontId="0" fillId="0" borderId="20" xfId="0" applyNumberFormat="1" applyFont="1" applyFill="1" applyBorder="1" applyAlignment="1" applyProtection="1">
      <alignment horizontal="center"/>
      <protection locked="0"/>
    </xf>
    <xf numFmtId="0" fontId="47" fillId="0" borderId="21" xfId="0" applyFont="1" applyFill="1" applyBorder="1" applyAlignment="1" applyProtection="1">
      <alignment horizontal="left" vertical="center" wrapText="1"/>
      <protection locked="0"/>
    </xf>
    <xf numFmtId="0" fontId="47" fillId="0" borderId="21" xfId="0" applyFont="1" applyFill="1" applyBorder="1" applyAlignment="1" applyProtection="1">
      <alignment horizontal="center" vertical="center" wrapText="1"/>
      <protection locked="0"/>
    </xf>
    <xf numFmtId="0" fontId="47" fillId="0" borderId="22" xfId="0" applyFont="1" applyFill="1" applyBorder="1" applyAlignment="1" applyProtection="1">
      <alignment horizontal="center" vertical="center" wrapText="1"/>
      <protection locked="0"/>
    </xf>
    <xf numFmtId="0" fontId="47" fillId="0" borderId="22" xfId="0" applyFont="1" applyFill="1" applyBorder="1" applyAlignment="1" applyProtection="1">
      <alignment horizontal="left" vertical="center" wrapText="1"/>
      <protection locked="0"/>
    </xf>
    <xf numFmtId="0" fontId="6" fillId="57" borderId="0" xfId="0" applyFont="1" applyFill="1" applyBorder="1" applyAlignment="1" applyProtection="1">
      <alignment vertical="top" wrapText="1"/>
      <protection locked="0"/>
    </xf>
    <xf numFmtId="166" fontId="5" fillId="57" borderId="0" xfId="0" applyNumberFormat="1" applyFont="1" applyFill="1" applyBorder="1" applyAlignment="1" applyProtection="1">
      <alignment horizontal="center"/>
      <protection locked="0"/>
    </xf>
    <xf numFmtId="0" fontId="6" fillId="57" borderId="0" xfId="0" applyFont="1" applyFill="1" applyBorder="1" applyAlignment="1" applyProtection="1">
      <alignment vertical="center" wrapText="1"/>
      <protection locked="0"/>
    </xf>
    <xf numFmtId="0" fontId="27" fillId="57" borderId="0" xfId="0" applyFont="1" applyFill="1" applyBorder="1" applyAlignment="1" applyProtection="1">
      <alignment vertical="center" wrapText="1"/>
      <protection locked="0"/>
    </xf>
    <xf numFmtId="0" fontId="6" fillId="57" borderId="0" xfId="0" applyFont="1" applyFill="1" applyBorder="1" applyAlignment="1" applyProtection="1">
      <alignment horizontal="center" vertical="top" wrapText="1"/>
      <protection locked="0"/>
    </xf>
    <xf numFmtId="0" fontId="4" fillId="59" borderId="1" xfId="0" applyFont="1" applyFill="1" applyBorder="1" applyAlignment="1" applyProtection="1">
      <alignment horizontal="center"/>
      <protection locked="0"/>
    </xf>
    <xf numFmtId="14" fontId="4" fillId="59" borderId="1" xfId="0" applyNumberFormat="1" applyFont="1" applyFill="1" applyBorder="1" applyAlignment="1" applyProtection="1">
      <alignment horizontal="center"/>
      <protection locked="0"/>
    </xf>
    <xf numFmtId="0" fontId="7" fillId="59" borderId="1" xfId="0" applyFont="1" applyFill="1" applyBorder="1" applyAlignment="1" applyProtection="1">
      <alignment horizontal="right" vertical="top" wrapText="1"/>
      <protection locked="0"/>
    </xf>
    <xf numFmtId="7" fontId="0" fillId="0" borderId="0" xfId="0" applyNumberFormat="1" applyAlignment="1" applyProtection="1">
      <alignment horizontal="left"/>
      <protection locked="0"/>
    </xf>
    <xf numFmtId="44" fontId="4" fillId="59" borderId="1" xfId="139" applyFont="1" applyFill="1" applyBorder="1" applyAlignment="1" applyProtection="1">
      <alignment horizontal="center"/>
      <protection locked="0"/>
    </xf>
    <xf numFmtId="0" fontId="1" fillId="2" borderId="1" xfId="0" applyFont="1" applyFill="1" applyBorder="1" applyAlignment="1" applyProtection="1">
      <alignment horizontal="center" vertical="top" wrapText="1"/>
      <protection locked="0"/>
    </xf>
    <xf numFmtId="0" fontId="0" fillId="0" borderId="0" xfId="0" applyFill="1" applyProtection="1">
      <protection locked="0"/>
    </xf>
  </cellXfs>
  <cellStyles count="140">
    <cellStyle name="%20 - Vurgu1" xfId="21"/>
    <cellStyle name="%20 - Vurgu2" xfId="22"/>
    <cellStyle name="%20 - Vurgu3" xfId="23"/>
    <cellStyle name="%20 - Vurgu4" xfId="24"/>
    <cellStyle name="%20 - Vurgu5" xfId="25"/>
    <cellStyle name="%20 - Vurgu6" xfId="26"/>
    <cellStyle name="%40 - Vurgu1" xfId="27"/>
    <cellStyle name="%40 - Vurgu2" xfId="28"/>
    <cellStyle name="%40 - Vurgu3" xfId="29"/>
    <cellStyle name="%40 - Vurgu4" xfId="30"/>
    <cellStyle name="%40 - Vurgu5" xfId="31"/>
    <cellStyle name="%40 - Vurgu6" xfId="32"/>
    <cellStyle name="%60 - Vurgu1" xfId="33"/>
    <cellStyle name="%60 - Vurgu2" xfId="34"/>
    <cellStyle name="%60 - Vurgu3" xfId="35"/>
    <cellStyle name="%60 - Vurgu4" xfId="36"/>
    <cellStyle name="%60 - Vurgu5" xfId="37"/>
    <cellStyle name="%60 - Vurgu6" xfId="38"/>
    <cellStyle name="20% - Accent1" xfId="116" builtinId="30" customBuiltin="1"/>
    <cellStyle name="20% - Accent2" xfId="120" builtinId="34" customBuiltin="1"/>
    <cellStyle name="20% - Accent3" xfId="124" builtinId="38" customBuiltin="1"/>
    <cellStyle name="20% - Accent4" xfId="128" builtinId="42" customBuiltin="1"/>
    <cellStyle name="20% - Accent5" xfId="132" builtinId="46" customBuiltin="1"/>
    <cellStyle name="20% - Accent6" xfId="136" builtinId="50" customBuiltin="1"/>
    <cellStyle name="40% - Accent1" xfId="117" builtinId="31" customBuiltin="1"/>
    <cellStyle name="40% - Accent2" xfId="121" builtinId="35" customBuiltin="1"/>
    <cellStyle name="40% - Accent3" xfId="125" builtinId="39" customBuiltin="1"/>
    <cellStyle name="40% - Accent4" xfId="129" builtinId="43" customBuiltin="1"/>
    <cellStyle name="40% - Accent5" xfId="133" builtinId="47" customBuiltin="1"/>
    <cellStyle name="40% - Accent6" xfId="137" builtinId="51" customBuiltin="1"/>
    <cellStyle name="60% - Accent1" xfId="118" builtinId="32" customBuiltin="1"/>
    <cellStyle name="60% - Accent2" xfId="122" builtinId="36" customBuiltin="1"/>
    <cellStyle name="60% - Accent3" xfId="126" builtinId="40" customBuiltin="1"/>
    <cellStyle name="60% - Accent4" xfId="130" builtinId="44" customBuiltin="1"/>
    <cellStyle name="60% - Accent5" xfId="134" builtinId="48" customBuiltin="1"/>
    <cellStyle name="60% - Accent6" xfId="138" builtinId="52" customBuiltin="1"/>
    <cellStyle name="Accent1" xfId="115" builtinId="29" customBuiltin="1"/>
    <cellStyle name="Accent2" xfId="119" builtinId="33" customBuiltin="1"/>
    <cellStyle name="Accent3" xfId="123" builtinId="37" customBuiltin="1"/>
    <cellStyle name="Accent4" xfId="127" builtinId="41" customBuiltin="1"/>
    <cellStyle name="Accent5" xfId="131" builtinId="45" customBuiltin="1"/>
    <cellStyle name="Accent6" xfId="135" builtinId="49" customBuiltin="1"/>
    <cellStyle name="Açıklama Metni" xfId="39"/>
    <cellStyle name="Ana Başlık" xfId="40"/>
    <cellStyle name="Bad" xfId="104" builtinId="27" customBuiltin="1"/>
    <cellStyle name="Bağlı Hücre" xfId="41"/>
    <cellStyle name="Başlık 1" xfId="42"/>
    <cellStyle name="Başlık 2" xfId="43"/>
    <cellStyle name="Başlık 3" xfId="44"/>
    <cellStyle name="Başlık 4" xfId="45"/>
    <cellStyle name="Calculation" xfId="108" builtinId="22" customBuiltin="1"/>
    <cellStyle name="Check Cell" xfId="110" builtinId="23" customBuiltin="1"/>
    <cellStyle name="Çıkış" xfId="46"/>
    <cellStyle name="Comma" xfId="75"/>
    <cellStyle name="Comma 2" xfId="47"/>
    <cellStyle name="Comma 3" xfId="48"/>
    <cellStyle name="Currency" xfId="139" builtinId="4"/>
    <cellStyle name="Currency 2" xfId="6"/>
    <cellStyle name="Currency 2 2" xfId="19"/>
    <cellStyle name="Currency 3" xfId="49"/>
    <cellStyle name="Currency 4" xfId="73"/>
    <cellStyle name="Currency 4 2" xfId="94"/>
    <cellStyle name="Explanatory Text" xfId="113" builtinId="53" customBuiltin="1"/>
    <cellStyle name="Giriş" xfId="50"/>
    <cellStyle name="Good" xfId="103" builtinId="26" customBuiltin="1"/>
    <cellStyle name="Heading 1" xfId="99" builtinId="16" customBuiltin="1"/>
    <cellStyle name="Heading 2" xfId="100" builtinId="17" customBuiltin="1"/>
    <cellStyle name="Heading 3" xfId="101" builtinId="18" customBuiltin="1"/>
    <cellStyle name="Heading 4" xfId="102" builtinId="19" customBuiltin="1"/>
    <cellStyle name="Hesaplama" xfId="51"/>
    <cellStyle name="Input" xfId="106" builtinId="20" customBuiltin="1"/>
    <cellStyle name="İşaretli Hücre" xfId="52"/>
    <cellStyle name="İyi" xfId="53"/>
    <cellStyle name="Kötü" xfId="54"/>
    <cellStyle name="Linked Cell" xfId="109" builtinId="24" customBuiltin="1"/>
    <cellStyle name="Neutral" xfId="105" builtinId="28" customBuiltin="1"/>
    <cellStyle name="Normal" xfId="0" builtinId="0"/>
    <cellStyle name="Normal 10" xfId="71"/>
    <cellStyle name="Normal 10 2" xfId="92"/>
    <cellStyle name="Normal 11" xfId="72"/>
    <cellStyle name="Normal 11 2" xfId="93"/>
    <cellStyle name="Normal 12" xfId="96"/>
    <cellStyle name="Normal 13" xfId="97"/>
    <cellStyle name="Normal 2" xfId="3"/>
    <cellStyle name="Normal 2 2" xfId="8"/>
    <cellStyle name="Normal 2 3" xfId="74"/>
    <cellStyle name="Normal 2 3 2" xfId="95"/>
    <cellStyle name="Normal 3" xfId="2"/>
    <cellStyle name="Normal 3 2" xfId="4"/>
    <cellStyle name="Normal 3 2 2" xfId="9"/>
    <cellStyle name="Normal 3 3" xfId="16"/>
    <cellStyle name="Normal 3 3 2" xfId="85"/>
    <cellStyle name="Normal 3 4" xfId="67"/>
    <cellStyle name="Normal 3 4 2" xfId="88"/>
    <cellStyle name="Normal 4" xfId="1"/>
    <cellStyle name="Normal 4 2" xfId="7"/>
    <cellStyle name="Normal 4 2 2" xfId="13"/>
    <cellStyle name="Normal 4 2 2 2" xfId="82"/>
    <cellStyle name="Normal 4 2 3" xfId="78"/>
    <cellStyle name="Normal 4 3" xfId="11"/>
    <cellStyle name="Normal 4 3 2" xfId="80"/>
    <cellStyle name="Normal 4 4" xfId="20"/>
    <cellStyle name="Normal 4 5" xfId="76"/>
    <cellStyle name="Normal 5" xfId="5"/>
    <cellStyle name="Normal 5 2" xfId="10"/>
    <cellStyle name="Normal 5 2 2" xfId="14"/>
    <cellStyle name="Normal 5 2 2 2" xfId="83"/>
    <cellStyle name="Normal 5 2 3" xfId="79"/>
    <cellStyle name="Normal 5 3" xfId="12"/>
    <cellStyle name="Normal 5 3 2" xfId="81"/>
    <cellStyle name="Normal 5 4" xfId="18"/>
    <cellStyle name="Normal 5 4 2" xfId="87"/>
    <cellStyle name="Normal 5 5" xfId="77"/>
    <cellStyle name="Normal 6" xfId="15"/>
    <cellStyle name="Normal 6 2" xfId="84"/>
    <cellStyle name="Normal 7" xfId="17"/>
    <cellStyle name="Normal 7 2" xfId="86"/>
    <cellStyle name="Normal 8" xfId="68"/>
    <cellStyle name="Normal 8 2" xfId="89"/>
    <cellStyle name="Normal 9" xfId="70"/>
    <cellStyle name="Normal 9 2" xfId="91"/>
    <cellStyle name="Not" xfId="55"/>
    <cellStyle name="Note" xfId="112" builtinId="10" customBuiltin="1"/>
    <cellStyle name="Note 2" xfId="69"/>
    <cellStyle name="Note 2 2" xfId="90"/>
    <cellStyle name="Nötr" xfId="56"/>
    <cellStyle name="Output" xfId="107" builtinId="21" customBuiltin="1"/>
    <cellStyle name="Percent 2" xfId="57"/>
    <cellStyle name="Percent 3" xfId="58"/>
    <cellStyle name="Title" xfId="98" builtinId="15" customBuiltin="1"/>
    <cellStyle name="Toplam" xfId="59"/>
    <cellStyle name="Total" xfId="114" builtinId="25" customBuiltin="1"/>
    <cellStyle name="Uyarı Metni" xfId="60"/>
    <cellStyle name="Vurgu1" xfId="61"/>
    <cellStyle name="Vurgu2" xfId="62"/>
    <cellStyle name="Vurgu3" xfId="63"/>
    <cellStyle name="Vurgu4" xfId="64"/>
    <cellStyle name="Vurgu5" xfId="65"/>
    <cellStyle name="Vurgu6" xfId="66"/>
    <cellStyle name="Warning Text" xfId="111" builtinId="11" customBuiltin="1"/>
  </cellStyles>
  <dxfs count="22">
    <dxf>
      <fill>
        <patternFill>
          <bgColor theme="0" tint="-0.14996795556505021"/>
        </patternFill>
      </fil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protection locked="0" hidden="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protection locked="0" hidden="0"/>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none">
          <fgColor indexed="64"/>
          <bgColor auto="1"/>
        </patternFill>
      </fill>
      <alignment horizontal="left"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strike val="0"/>
        <outline val="0"/>
        <shadow val="0"/>
        <u val="none"/>
        <vertAlign val="baseline"/>
        <name val="Calibri"/>
        <scheme val="minor"/>
      </font>
      <numFmt numFmtId="34" formatCode="_(&quot;$&quot;* #,##0.00_);_(&quot;$&quot;* \(#,##0.00\);_(&quot;$&quot;* &quot;-&quot;??_);_(@_)"/>
      <fill>
        <patternFill patternType="none">
          <fgColor indexed="64"/>
          <bgColor auto="1"/>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strike val="0"/>
        <outline val="0"/>
        <shadow val="0"/>
        <u val="none"/>
        <vertAlign val="baseline"/>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strike val="0"/>
        <outline val="0"/>
        <shadow val="0"/>
        <u val="none"/>
        <vertAlign val="baseline"/>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strike val="0"/>
        <outline val="0"/>
        <shadow val="0"/>
        <u val="none"/>
        <vertAlign val="baseline"/>
        <name val="Calibri"/>
        <scheme val="minor"/>
      </font>
      <fill>
        <patternFill patternType="none">
          <fgColor indexed="64"/>
          <bgColor auto="1"/>
        </patternFill>
      </fill>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1"/>
        <color theme="1"/>
        <name val="Calibri"/>
        <scheme val="minor"/>
      </font>
      <numFmt numFmtId="1" formatCode="0"/>
      <fill>
        <patternFill patternType="none">
          <fgColor indexed="64"/>
          <bgColor auto="1"/>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border outline="0">
        <left style="thin">
          <color theme="0" tint="-0.34998626667073579"/>
        </left>
        <right style="thin">
          <color theme="0" tint="-0.34998626667073579"/>
        </right>
        <top style="thin">
          <color theme="0" tint="-0.34998626667073579"/>
        </top>
        <bottom style="thin">
          <color theme="0" tint="-0.34998626667073579"/>
        </bottom>
      </border>
    </dxf>
    <dxf>
      <font>
        <b val="0"/>
        <strike val="0"/>
        <outline val="0"/>
        <shadow val="0"/>
        <u val="none"/>
        <vertAlign val="baseline"/>
        <name val="Calibri"/>
        <scheme val="minor"/>
      </font>
      <fill>
        <patternFill patternType="none">
          <fgColor indexed="64"/>
          <bgColor auto="1"/>
        </patternFill>
      </fill>
      <protection locked="0" hidden="0"/>
    </dxf>
    <dxf>
      <border outline="0">
        <bottom style="thin">
          <color theme="0" tint="-0.34998626667073579"/>
        </bottom>
      </border>
    </dxf>
    <dxf>
      <font>
        <b/>
        <i val="0"/>
        <strike val="0"/>
        <condense val="0"/>
        <extend val="0"/>
        <outline val="0"/>
        <shadow val="0"/>
        <u val="none"/>
        <vertAlign val="baseline"/>
        <sz val="10"/>
        <color theme="0"/>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bottom/>
      </border>
      <protection locked="0" hidden="0"/>
    </dxf>
  </dxfs>
  <tableStyles count="0" defaultTableStyle="TableStyleMedium9" defaultPivotStyle="PivotStyleLight16"/>
  <colors>
    <mruColors>
      <color rgb="FFD7C3D7"/>
      <color rgb="FFC3A5C3"/>
      <color rgb="FFB995B9"/>
      <color rgb="FFCC99FF"/>
      <color rgb="FF9999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1</xdr:row>
          <xdr:rowOff>19050</xdr:rowOff>
        </xdr:from>
        <xdr:to>
          <xdr:col>4</xdr:col>
          <xdr:colOff>295275</xdr:colOff>
          <xdr:row>2</xdr:row>
          <xdr:rowOff>57150</xdr:rowOff>
        </xdr:to>
        <xdr:sp macro="" textlink="">
          <xdr:nvSpPr>
            <xdr:cNvPr id="1025" name="Button 1" hidden="1">
              <a:extLst>
                <a:ext uri="{63B3BB69-23CF-44E3-9099-C40C66FF867C}">
                  <a14:compatExt spid="_x0000_s1025"/>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Transfer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371475</xdr:colOff>
          <xdr:row>1</xdr:row>
          <xdr:rowOff>19050</xdr:rowOff>
        </xdr:from>
        <xdr:to>
          <xdr:col>5</xdr:col>
          <xdr:colOff>847725</xdr:colOff>
          <xdr:row>2</xdr:row>
          <xdr:rowOff>57150</xdr:rowOff>
        </xdr:to>
        <xdr:sp macro="" textlink="">
          <xdr:nvSpPr>
            <xdr:cNvPr id="1026" name="Button 2" hidden="1">
              <a:extLst>
                <a:ext uri="{63B3BB69-23CF-44E3-9099-C40C66FF867C}">
                  <a14:compatExt spid="_x0000_s1026"/>
                </a:ext>
                <a:ext uri="{FF2B5EF4-FFF2-40B4-BE49-F238E27FC236}">
                  <a16:creationId xmlns=""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Transfer 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4</xdr:row>
          <xdr:rowOff>142875</xdr:rowOff>
        </xdr:from>
        <xdr:to>
          <xdr:col>4</xdr:col>
          <xdr:colOff>295275</xdr:colOff>
          <xdr:row>6</xdr:row>
          <xdr:rowOff>0</xdr:rowOff>
        </xdr:to>
        <xdr:sp macro="" textlink="">
          <xdr:nvSpPr>
            <xdr:cNvPr id="1027" name="Button 3" hidden="1">
              <a:extLst>
                <a:ext uri="{63B3BB69-23CF-44E3-9099-C40C66FF867C}">
                  <a14:compatExt spid="_x0000_s1027"/>
                </a:ext>
                <a:ext uri="{FF2B5EF4-FFF2-40B4-BE49-F238E27FC236}">
                  <a16:creationId xmlns=""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Filter Zeros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371475</xdr:colOff>
          <xdr:row>4</xdr:row>
          <xdr:rowOff>142875</xdr:rowOff>
        </xdr:from>
        <xdr:to>
          <xdr:col>5</xdr:col>
          <xdr:colOff>847725</xdr:colOff>
          <xdr:row>6</xdr:row>
          <xdr:rowOff>0</xdr:rowOff>
        </xdr:to>
        <xdr:sp macro="" textlink="">
          <xdr:nvSpPr>
            <xdr:cNvPr id="1028" name="Button 4" hidden="1">
              <a:extLst>
                <a:ext uri="{63B3BB69-23CF-44E3-9099-C40C66FF867C}">
                  <a14:compatExt spid="_x0000_s1028"/>
                </a:ext>
                <a:ext uri="{FF2B5EF4-FFF2-40B4-BE49-F238E27FC236}">
                  <a16:creationId xmlns=""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Destroy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2</xdr:row>
          <xdr:rowOff>161925</xdr:rowOff>
        </xdr:from>
        <xdr:to>
          <xdr:col>4</xdr:col>
          <xdr:colOff>285750</xdr:colOff>
          <xdr:row>4</xdr:row>
          <xdr:rowOff>19050</xdr:rowOff>
        </xdr:to>
        <xdr:sp macro="" textlink="">
          <xdr:nvSpPr>
            <xdr:cNvPr id="1029" name="Button 5" hidden="1">
              <a:extLst>
                <a:ext uri="{63B3BB69-23CF-44E3-9099-C40C66FF867C}">
                  <a14:compatExt spid="_x0000_s1029"/>
                </a:ext>
                <a:ext uri="{FF2B5EF4-FFF2-40B4-BE49-F238E27FC236}">
                  <a16:creationId xmlns=""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Obsolete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381000</xdr:colOff>
          <xdr:row>2</xdr:row>
          <xdr:rowOff>161925</xdr:rowOff>
        </xdr:from>
        <xdr:to>
          <xdr:col>5</xdr:col>
          <xdr:colOff>838200</xdr:colOff>
          <xdr:row>4</xdr:row>
          <xdr:rowOff>9525</xdr:rowOff>
        </xdr:to>
        <xdr:sp macro="" textlink="">
          <xdr:nvSpPr>
            <xdr:cNvPr id="1031" name="Button 7" hidden="1">
              <a:extLst>
                <a:ext uri="{63B3BB69-23CF-44E3-9099-C40C66FF867C}">
                  <a14:compatExt spid="_x0000_s1031"/>
                </a:ext>
                <a:ext uri="{FF2B5EF4-FFF2-40B4-BE49-F238E27FC236}">
                  <a16:creationId xmlns=""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Check Minors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19050</xdr:colOff>
          <xdr:row>4</xdr:row>
          <xdr:rowOff>142875</xdr:rowOff>
        </xdr:from>
        <xdr:to>
          <xdr:col>6</xdr:col>
          <xdr:colOff>1133475</xdr:colOff>
          <xdr:row>6</xdr:row>
          <xdr:rowOff>0</xdr:rowOff>
        </xdr:to>
        <xdr:sp macro="" textlink="">
          <xdr:nvSpPr>
            <xdr:cNvPr id="1035" name="Button 11" hidden="1">
              <a:extLst>
                <a:ext uri="{63B3BB69-23CF-44E3-9099-C40C66FF867C}">
                  <a14:compatExt spid="_x0000_s1035"/>
                </a:ext>
                <a:ext uri="{FF2B5EF4-FFF2-40B4-BE49-F238E27FC236}">
                  <a16:creationId xmlns=""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Create Revision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xdr:colOff>
          <xdr:row>2</xdr:row>
          <xdr:rowOff>152400</xdr:rowOff>
        </xdr:from>
        <xdr:to>
          <xdr:col>6</xdr:col>
          <xdr:colOff>1133475</xdr:colOff>
          <xdr:row>4</xdr:row>
          <xdr:rowOff>9525</xdr:rowOff>
        </xdr:to>
        <xdr:sp macro="" textlink="">
          <xdr:nvSpPr>
            <xdr:cNvPr id="1040" name="Button 16" hidden="1">
              <a:extLst>
                <a:ext uri="{63B3BB69-23CF-44E3-9099-C40C66FF867C}">
                  <a14:compatExt spid="_x0000_s1040"/>
                </a:ext>
                <a:ext uri="{FF2B5EF4-FFF2-40B4-BE49-F238E27FC236}">
                  <a16:creationId xmlns=""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Update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3</xdr:col>
      <xdr:colOff>450850</xdr:colOff>
      <xdr:row>1</xdr:row>
      <xdr:rowOff>152400</xdr:rowOff>
    </xdr:from>
    <xdr:to>
      <xdr:col>5</xdr:col>
      <xdr:colOff>1809750</xdr:colOff>
      <xdr:row>4</xdr:row>
      <xdr:rowOff>50800</xdr:rowOff>
    </xdr:to>
    <xdr:sp macro="" textlink="">
      <xdr:nvSpPr>
        <xdr:cNvPr id="2" name="TextBox 1">
          <a:extLst>
            <a:ext uri="{FF2B5EF4-FFF2-40B4-BE49-F238E27FC236}">
              <a16:creationId xmlns="" xmlns:a16="http://schemas.microsoft.com/office/drawing/2014/main" id="{00000000-0008-0000-0700-000002000000}"/>
            </a:ext>
          </a:extLst>
        </xdr:cNvPr>
        <xdr:cNvSpPr txBox="1"/>
      </xdr:nvSpPr>
      <xdr:spPr>
        <a:xfrm>
          <a:off x="12573000" y="336550"/>
          <a:ext cx="305435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DISCLAIMER:</a:t>
          </a:r>
          <a:r>
            <a:rPr lang="en-US" sz="1100" baseline="0"/>
            <a:t> Any automation done within this workbook is meant to </a:t>
          </a:r>
          <a:r>
            <a:rPr lang="en-US" sz="1100" b="1" i="0" baseline="0"/>
            <a:t>assist</a:t>
          </a:r>
          <a:r>
            <a:rPr lang="en-US" sz="1100" baseline="0"/>
            <a:t> with actions relating to the BOM template. The data should be checked manually.</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9525</xdr:rowOff>
        </xdr:from>
        <xdr:to>
          <xdr:col>3</xdr:col>
          <xdr:colOff>609600</xdr:colOff>
          <xdr:row>0</xdr:row>
          <xdr:rowOff>180975</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9525</xdr:rowOff>
        </xdr:from>
        <xdr:to>
          <xdr:col>5</xdr:col>
          <xdr:colOff>0</xdr:colOff>
          <xdr:row>0</xdr:row>
          <xdr:rowOff>180975</xdr:rowOff>
        </xdr:to>
        <xdr:sp macro="" textlink="">
          <xdr:nvSpPr>
            <xdr:cNvPr id="8194" name="Button 2" hidden="1">
              <a:extLst>
                <a:ext uri="{63B3BB69-23CF-44E3-9099-C40C66FF867C}">
                  <a14:compatExt spid="_x0000_s8194"/>
                </a:ext>
                <a:ext uri="{FF2B5EF4-FFF2-40B4-BE49-F238E27FC236}">
                  <a16:creationId xmlns=""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Replace</a:t>
              </a:r>
            </a:p>
            <a:p>
              <a:pPr algn="ctr" rtl="0">
                <a:defRPr sz="1000"/>
              </a:pPr>
              <a:endParaRPr lang="en-CA"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85725</xdr:colOff>
          <xdr:row>0</xdr:row>
          <xdr:rowOff>9525</xdr:rowOff>
        </xdr:from>
        <xdr:to>
          <xdr:col>6</xdr:col>
          <xdr:colOff>514350</xdr:colOff>
          <xdr:row>0</xdr:row>
          <xdr:rowOff>180975</xdr:rowOff>
        </xdr:to>
        <xdr:sp macro="" textlink="">
          <xdr:nvSpPr>
            <xdr:cNvPr id="10244" name="Button 4" hidden="1">
              <a:extLst>
                <a:ext uri="{63B3BB69-23CF-44E3-9099-C40C66FF867C}">
                  <a14:compatExt spid="_x0000_s10244"/>
                </a:ext>
                <a:ext uri="{FF2B5EF4-FFF2-40B4-BE49-F238E27FC236}">
                  <a16:creationId xmlns="" xmlns:a16="http://schemas.microsoft.com/office/drawing/2014/main" id="{00000000-0008-0000-06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Add to BOM</a:t>
              </a:r>
            </a:p>
          </xdr:txBody>
        </xdr:sp>
        <xdr:clientData fPrintsWithSheet="0"/>
      </xdr:twoCellAnchor>
    </mc:Choice>
    <mc:Fallback/>
  </mc:AlternateContent>
  <xdr:twoCellAnchor editAs="absolute">
    <xdr:from>
      <xdr:col>11</xdr:col>
      <xdr:colOff>584200</xdr:colOff>
      <xdr:row>502</xdr:row>
      <xdr:rowOff>57149</xdr:rowOff>
    </xdr:from>
    <xdr:to>
      <xdr:col>15</xdr:col>
      <xdr:colOff>539750</xdr:colOff>
      <xdr:row>504</xdr:row>
      <xdr:rowOff>161924</xdr:rowOff>
    </xdr:to>
    <xdr:sp macro="" textlink="">
      <xdr:nvSpPr>
        <xdr:cNvPr id="2" name="TextBox 1">
          <a:extLst>
            <a:ext uri="{FF2B5EF4-FFF2-40B4-BE49-F238E27FC236}">
              <a16:creationId xmlns="" xmlns:a16="http://schemas.microsoft.com/office/drawing/2014/main" id="{00000000-0008-0000-0600-000002000000}"/>
            </a:ext>
          </a:extLst>
        </xdr:cNvPr>
        <xdr:cNvSpPr txBox="1"/>
      </xdr:nvSpPr>
      <xdr:spPr>
        <a:xfrm>
          <a:off x="8994775" y="647699"/>
          <a:ext cx="2413000" cy="48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a:t>
          </a:r>
          <a:r>
            <a:rPr lang="en-US" sz="1100" baseline="0"/>
            <a:t>The amounts shown here are suggestions.</a:t>
          </a:r>
        </a:p>
      </xdr:txBody>
    </xdr:sp>
    <xdr:clientData/>
  </xdr:twoCellAnchor>
</xdr:wsDr>
</file>

<file path=xl/tables/table1.xml><?xml version="1.0" encoding="utf-8"?>
<table xmlns="http://schemas.openxmlformats.org/spreadsheetml/2006/main" id="1" name="Mats" displayName="Mats" ref="A8:K9" totalsRowShown="0" headerRowDxfId="21" dataDxfId="19" headerRowBorderDxfId="20" tableBorderDxfId="18">
  <autoFilter ref="A8:K9"/>
  <tableColumns count="11">
    <tableColumn id="1" name="Part ID" dataDxfId="17"/>
    <tableColumn id="3" name="Description" dataDxfId="16"/>
    <tableColumn id="5" name="Qty Required" dataDxfId="15"/>
    <tableColumn id="6" name="Order Qty" dataDxfId="14">
      <calculatedColumnFormula>ROUNDUP(Mats[[#This Row],[Qty Required]]/Mats[[#This Row],[RV]], 0)*Mats[[#This Row],[RV]]</calculatedColumnFormula>
    </tableColumn>
    <tableColumn id="7" name="UoM" dataDxfId="13"/>
    <tableColumn id="2" name="Category" dataDxfId="12"/>
    <tableColumn id="4" name="Supplier" dataDxfId="11"/>
    <tableColumn id="9" name="RV" dataDxfId="10"/>
    <tableColumn id="10" name="Lead Time" dataDxfId="9"/>
    <tableColumn id="14" name="$/UoM" dataDxfId="8"/>
    <tableColumn id="15" name="$ Total" dataDxfId="7" dataCellStyle="Currency 4 2">
      <calculatedColumnFormula>Mats[[#This Row],[$/UoM]]*Mats[[#This Row],[Order Qty]]</calculatedColumnFormula>
    </tableColumn>
  </tableColumns>
  <tableStyleInfo name="TableStyleMedium1" showFirstColumn="0" showLastColumn="0" showRowStripes="1" showColumnStripes="0"/>
</table>
</file>

<file path=xl/tables/table2.xml><?xml version="1.0" encoding="utf-8"?>
<table xmlns="http://schemas.openxmlformats.org/spreadsheetml/2006/main" id="8" name="MacroNotes" displayName="MacroNotes" ref="A1:B8" totalsRowShown="0">
  <autoFilter ref="A1:B8"/>
  <tableColumns count="2">
    <tableColumn id="1" name="Button"/>
    <tableColumn id="2" name="Notes" dataDxfId="6"/>
  </tableColumns>
  <tableStyleInfo name="TableStyleMedium8" showFirstColumn="0" showLastColumn="0" showRowStripes="1" showColumnStripes="0"/>
</table>
</file>

<file path=xl/tables/table3.xml><?xml version="1.0" encoding="utf-8"?>
<table xmlns="http://schemas.openxmlformats.org/spreadsheetml/2006/main" id="10" name="ColumnNotes" displayName="ColumnNotes" ref="A12:B16" totalsRowShown="0">
  <autoFilter ref="A12:B16"/>
  <tableColumns count="2">
    <tableColumn id="1" name="Column"/>
    <tableColumn id="2" name="Notes"/>
  </tableColumns>
  <tableStyleInfo name="TableStyleMedium8" showFirstColumn="0" showLastColumn="0" showRowStripes="1" showColumnStripes="0"/>
</table>
</file>

<file path=xl/tables/table4.xml><?xml version="1.0" encoding="utf-8"?>
<table xmlns="http://schemas.openxmlformats.org/spreadsheetml/2006/main" id="2" name="ObsoleteItems" displayName="ObsoleteItems" ref="A1:B2" totalsRowShown="0">
  <autoFilter ref="A1:B2"/>
  <tableColumns count="2">
    <tableColumn id="1" name="Part ID" dataDxfId="5"/>
    <tableColumn id="2" name="Replacement SAP" dataDxfId="4"/>
  </tableColumns>
  <tableStyleInfo name="TableStyleMedium1" showFirstColumn="0" showLastColumn="0" showRowStripes="1" showColumnStripes="0"/>
</table>
</file>

<file path=xl/tables/table5.xml><?xml version="1.0" encoding="utf-8"?>
<table xmlns="http://schemas.openxmlformats.org/spreadsheetml/2006/main" id="3" name="MinorMajors" displayName="MinorMajors" ref="A1:G2" totalsRowShown="0">
  <autoFilter ref="A1:G2"/>
  <tableColumns count="7">
    <tableColumn id="8" name="Build Type"/>
    <tableColumn id="1" name="Major Part ID"/>
    <tableColumn id="5" name="Major Description" dataDxfId="3">
      <calculatedColumnFormula>VLOOKUP(MinorMajors[Major Part ID], Mats[], 2, 0)</calculatedColumnFormula>
    </tableColumn>
    <tableColumn id="2" name="Minor Part ID"/>
    <tableColumn id="6" name="Minor Description" dataDxfId="2">
      <calculatedColumnFormula>VLOOKUP(MinorMajors[Minor Part ID], Mats[], 2, 0)</calculatedColumnFormula>
    </tableColumn>
    <tableColumn id="3" name="# per Major"/>
    <tableColumn id="4" name="Needed #" dataDxfId="1">
      <calculatedColumnFormula>VLOOKUP(MinorMajors[Major Part ID], Mats[], 4, 0)*MinorMajors['# per Major]</calculatedColumnFormula>
    </tableColumn>
  </tableColumns>
  <tableStyleInfo name="TableStyleMedium8" showFirstColumn="0" showLastColumn="0" showRowStripes="1" showColumnStripes="0"/>
</table>
</file>

<file path=xl/tables/table6.xml><?xml version="1.0" encoding="utf-8"?>
<table xmlns="http://schemas.openxmlformats.org/spreadsheetml/2006/main" id="4" name="BuildTypes" displayName="BuildTypes" ref="C1:C2" totalsRowShown="0">
  <autoFilter ref="C1:C2"/>
  <tableColumns count="1">
    <tableColumn id="1" name="Build Types"/>
  </tableColumns>
  <tableStyleInfo name="TableStyleMedium8" showFirstColumn="0" showLastColumn="0" showRowStripes="1" showColumnStripes="0"/>
</table>
</file>

<file path=xl/tables/table7.xml><?xml version="1.0" encoding="utf-8"?>
<table xmlns="http://schemas.openxmlformats.org/spreadsheetml/2006/main" id="5" name="Table5" displayName="Table5" ref="A1:A2" insertRow="1" totalsRowShown="0">
  <autoFilter ref="A1:A2"/>
  <tableColumns count="1">
    <tableColumn id="1" name="Do Not Count"/>
  </tableColumns>
  <tableStyleInfo name="TableStyleMedium8" showFirstColumn="0" showLastColumn="0" showRowStripes="1" showColumnStripes="0"/>
</table>
</file>

<file path=xl/tables/table8.xml><?xml version="1.0" encoding="utf-8"?>
<table xmlns="http://schemas.openxmlformats.org/spreadsheetml/2006/main" id="7" name="RevisionRows" displayName="RevisionRows" ref="N1:P2" insertRow="1" totalsRowShown="0">
  <autoFilter ref="N1:P2"/>
  <tableColumns count="3">
    <tableColumn id="1" name="Revisions"/>
    <tableColumn id="2" name="row1"/>
    <tableColumn id="3" name="row2"/>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295"/>
  <sheetViews>
    <sheetView showGridLines="0" tabSelected="1" zoomScale="85" zoomScaleNormal="85" workbookViewId="0">
      <pane ySplit="8" topLeftCell="A9" activePane="bottomLeft" state="frozen"/>
      <selection pane="bottomLeft"/>
    </sheetView>
  </sheetViews>
  <sheetFormatPr defaultColWidth="9.140625" defaultRowHeight="15" x14ac:dyDescent="0.25"/>
  <cols>
    <col min="1" max="1" width="13.7109375" style="1" bestFit="1" customWidth="1"/>
    <col min="2" max="2" width="84.7109375" style="1" bestFit="1" customWidth="1"/>
    <col min="3" max="3" width="17" style="1" bestFit="1" customWidth="1"/>
    <col min="4" max="4" width="14.28515625" style="2" bestFit="1" customWidth="1"/>
    <col min="5" max="5" width="10.42578125" style="2" bestFit="1" customWidth="1"/>
    <col min="6" max="6" width="13.42578125" style="2" bestFit="1" customWidth="1"/>
    <col min="7" max="7" width="18.140625" style="2" bestFit="1" customWidth="1"/>
    <col min="8" max="8" width="8.7109375" style="2" bestFit="1" customWidth="1"/>
    <col min="9" max="9" width="14.5703125" style="2" bestFit="1" customWidth="1"/>
    <col min="10" max="10" width="14.28515625" style="2" customWidth="1"/>
    <col min="11" max="11" width="15.5703125" style="2" customWidth="1"/>
    <col min="12" max="12" width="12.42578125" style="2" customWidth="1"/>
    <col min="13" max="13" width="11.42578125" style="43" customWidth="1"/>
    <col min="14" max="14" width="14.140625" style="4" customWidth="1"/>
    <col min="15" max="15" width="18.5703125" style="4" customWidth="1"/>
    <col min="16" max="18" width="17.5703125" style="1" customWidth="1"/>
    <col min="19" max="19" width="30.42578125" style="1" customWidth="1"/>
    <col min="20" max="20" width="33.7109375" style="1" customWidth="1"/>
    <col min="21" max="16384" width="9.140625" style="1"/>
  </cols>
  <sheetData>
    <row r="1" spans="1:15" ht="14.45" customHeight="1" x14ac:dyDescent="0.25">
      <c r="A1" s="32"/>
      <c r="B1" s="32"/>
      <c r="C1" s="32"/>
      <c r="D1" s="33"/>
      <c r="E1" s="33"/>
      <c r="F1" s="33"/>
      <c r="G1" s="33"/>
      <c r="H1" s="22"/>
      <c r="I1" s="22"/>
      <c r="J1" s="22"/>
      <c r="K1" s="22"/>
      <c r="L1" s="1"/>
      <c r="M1" s="1"/>
      <c r="N1" s="1"/>
      <c r="O1" s="1"/>
    </row>
    <row r="2" spans="1:15" ht="14.25" customHeight="1" x14ac:dyDescent="0.25">
      <c r="A2" s="32"/>
      <c r="B2" s="42" t="s">
        <v>2078</v>
      </c>
      <c r="C2" s="32"/>
      <c r="D2" s="34"/>
      <c r="E2" s="34"/>
      <c r="F2" s="20"/>
      <c r="G2" s="20"/>
      <c r="H2" s="21"/>
      <c r="I2" s="20" t="s">
        <v>2077</v>
      </c>
      <c r="J2" s="41" t="e">
        <f>SUM(Mats[$ Total])</f>
        <v>#DIV/0!</v>
      </c>
      <c r="K2" s="22"/>
      <c r="L2" s="1"/>
      <c r="M2" s="1"/>
      <c r="N2" s="1"/>
      <c r="O2" s="1"/>
    </row>
    <row r="3" spans="1:15" ht="14.25" customHeight="1" x14ac:dyDescent="0.25">
      <c r="A3" s="32"/>
      <c r="B3" s="42"/>
      <c r="C3" s="32"/>
      <c r="D3" s="34"/>
      <c r="E3" s="34"/>
      <c r="F3" s="20"/>
      <c r="G3" s="20"/>
      <c r="H3" s="21"/>
      <c r="I3" s="20"/>
      <c r="J3" s="20"/>
      <c r="K3" s="22"/>
      <c r="L3" s="1"/>
      <c r="M3" s="1"/>
      <c r="N3" s="1"/>
      <c r="O3" s="1"/>
    </row>
    <row r="4" spans="1:15" ht="14.25" customHeight="1" x14ac:dyDescent="0.25">
      <c r="A4" s="23" t="s">
        <v>2079</v>
      </c>
      <c r="B4" s="39"/>
      <c r="C4" s="32"/>
      <c r="D4" s="34"/>
      <c r="E4" s="34"/>
      <c r="F4" s="20"/>
      <c r="G4" s="20"/>
      <c r="H4" s="21"/>
      <c r="I4" s="20" t="s">
        <v>630</v>
      </c>
      <c r="J4" s="37"/>
      <c r="K4" s="22"/>
      <c r="L4" s="1"/>
      <c r="M4" s="1"/>
      <c r="N4" s="1"/>
      <c r="O4" s="1"/>
    </row>
    <row r="5" spans="1:15" ht="14.25" customHeight="1" x14ac:dyDescent="0.25">
      <c r="A5" s="23" t="s">
        <v>2080</v>
      </c>
      <c r="B5" s="39"/>
      <c r="C5" s="35"/>
      <c r="D5" s="24"/>
      <c r="E5" s="24"/>
      <c r="F5" s="25"/>
      <c r="G5" s="25"/>
      <c r="H5" s="21"/>
      <c r="I5" s="20" t="s">
        <v>2024</v>
      </c>
      <c r="J5" s="37"/>
      <c r="K5" s="22"/>
      <c r="L5" s="1"/>
      <c r="M5" s="1"/>
      <c r="N5" s="1"/>
      <c r="O5" s="1"/>
    </row>
    <row r="6" spans="1:15" ht="14.25" customHeight="1" x14ac:dyDescent="0.25">
      <c r="A6" s="23" t="s">
        <v>2081</v>
      </c>
      <c r="B6" s="39"/>
      <c r="C6" s="32"/>
      <c r="D6" s="36"/>
      <c r="E6" s="36"/>
      <c r="F6" s="20"/>
      <c r="G6" s="20"/>
      <c r="H6" s="21"/>
      <c r="I6" s="20" t="s">
        <v>2025</v>
      </c>
      <c r="J6" s="38"/>
      <c r="K6" s="22"/>
      <c r="L6" s="1"/>
      <c r="M6" s="1"/>
      <c r="N6" s="1"/>
      <c r="O6" s="1"/>
    </row>
    <row r="7" spans="1:15" ht="14.25" customHeight="1" x14ac:dyDescent="0.25">
      <c r="A7" s="32"/>
      <c r="B7" s="32"/>
      <c r="C7" s="32"/>
      <c r="D7" s="36"/>
      <c r="E7" s="36"/>
      <c r="F7" s="36"/>
      <c r="G7" s="36"/>
      <c r="H7" s="22"/>
      <c r="I7" s="36"/>
      <c r="J7" s="36"/>
      <c r="K7" s="36"/>
      <c r="L7" s="1"/>
      <c r="M7" s="1"/>
      <c r="N7" s="1"/>
      <c r="O7" s="1"/>
    </row>
    <row r="8" spans="1:15" x14ac:dyDescent="0.25">
      <c r="A8" s="28" t="s">
        <v>2082</v>
      </c>
      <c r="B8" s="29" t="s">
        <v>2074</v>
      </c>
      <c r="C8" s="29" t="s">
        <v>2075</v>
      </c>
      <c r="D8" s="29" t="s">
        <v>629</v>
      </c>
      <c r="E8" s="29" t="s">
        <v>27</v>
      </c>
      <c r="F8" s="30" t="s">
        <v>2072</v>
      </c>
      <c r="G8" s="30" t="s">
        <v>2073</v>
      </c>
      <c r="H8" s="30" t="s">
        <v>2076</v>
      </c>
      <c r="I8" s="30" t="s">
        <v>2034</v>
      </c>
      <c r="J8" s="31" t="s">
        <v>784</v>
      </c>
      <c r="K8" s="31" t="s">
        <v>785</v>
      </c>
      <c r="L8" s="1"/>
      <c r="M8" s="1"/>
      <c r="N8" s="1"/>
      <c r="O8" s="1"/>
    </row>
    <row r="9" spans="1:15" ht="15" customHeight="1" x14ac:dyDescent="0.25">
      <c r="A9" s="17"/>
      <c r="B9" s="26"/>
      <c r="C9" s="17"/>
      <c r="D9" s="17" t="e">
        <f>ROUNDUP(Mats[[#This Row],[Qty Required]]/Mats[[#This Row],[RV]], 0)*Mats[[#This Row],[RV]]</f>
        <v>#DIV/0!</v>
      </c>
      <c r="E9" s="17"/>
      <c r="F9" s="17"/>
      <c r="G9" s="17"/>
      <c r="H9" s="6"/>
      <c r="I9" s="27"/>
      <c r="J9" s="18"/>
      <c r="K9" s="19" t="e">
        <f>Mats[[#This Row],[$/UoM]]*Mats[[#This Row],[Order Qty]]</f>
        <v>#DIV/0!</v>
      </c>
      <c r="L9" s="1"/>
      <c r="M9" s="1"/>
      <c r="N9" s="1"/>
      <c r="O9" s="1"/>
    </row>
    <row r="10" spans="1:15" x14ac:dyDescent="0.25">
      <c r="M10" s="1"/>
    </row>
    <row r="11" spans="1:15" x14ac:dyDescent="0.25">
      <c r="M11" s="1"/>
    </row>
    <row r="12" spans="1:15" x14ac:dyDescent="0.25">
      <c r="M12" s="1"/>
    </row>
    <row r="13" spans="1:15" x14ac:dyDescent="0.25">
      <c r="M13" s="1"/>
    </row>
    <row r="14" spans="1:15" x14ac:dyDescent="0.25">
      <c r="M14" s="1"/>
    </row>
    <row r="15" spans="1:15" x14ac:dyDescent="0.25">
      <c r="M15" s="1"/>
    </row>
    <row r="16" spans="1:15" x14ac:dyDescent="0.25">
      <c r="M16" s="1"/>
    </row>
    <row r="17" spans="13:13" x14ac:dyDescent="0.25">
      <c r="M17" s="1"/>
    </row>
    <row r="18" spans="13:13" x14ac:dyDescent="0.25">
      <c r="M18" s="1"/>
    </row>
    <row r="19" spans="13:13" x14ac:dyDescent="0.25">
      <c r="M19" s="1"/>
    </row>
    <row r="20" spans="13:13" x14ac:dyDescent="0.25">
      <c r="M20" s="1"/>
    </row>
    <row r="21" spans="13:13" x14ac:dyDescent="0.25">
      <c r="M21" s="1"/>
    </row>
    <row r="22" spans="13:13" x14ac:dyDescent="0.25">
      <c r="M22" s="1"/>
    </row>
    <row r="23" spans="13:13" x14ac:dyDescent="0.25">
      <c r="M23" s="1"/>
    </row>
    <row r="24" spans="13:13" x14ac:dyDescent="0.25">
      <c r="M24" s="1"/>
    </row>
    <row r="25" spans="13:13" x14ac:dyDescent="0.25">
      <c r="M25" s="1"/>
    </row>
    <row r="26" spans="13:13" x14ac:dyDescent="0.25">
      <c r="M26" s="1"/>
    </row>
    <row r="27" spans="13:13" x14ac:dyDescent="0.25">
      <c r="M27" s="1"/>
    </row>
    <row r="28" spans="13:13" x14ac:dyDescent="0.25">
      <c r="M28" s="1"/>
    </row>
    <row r="29" spans="13:13" x14ac:dyDescent="0.25">
      <c r="M29" s="1"/>
    </row>
    <row r="30" spans="13:13" x14ac:dyDescent="0.25">
      <c r="M30" s="1"/>
    </row>
    <row r="31" spans="13:13" x14ac:dyDescent="0.25">
      <c r="M31" s="1"/>
    </row>
    <row r="32" spans="13:13" x14ac:dyDescent="0.25">
      <c r="M32" s="1"/>
    </row>
    <row r="33" spans="13:13" x14ac:dyDescent="0.25">
      <c r="M33" s="1"/>
    </row>
    <row r="34" spans="13:13" x14ac:dyDescent="0.25">
      <c r="M34" s="1"/>
    </row>
    <row r="35" spans="13:13" x14ac:dyDescent="0.25">
      <c r="M35" s="1"/>
    </row>
    <row r="36" spans="13:13" x14ac:dyDescent="0.25">
      <c r="M36" s="1"/>
    </row>
    <row r="37" spans="13:13" x14ac:dyDescent="0.25">
      <c r="M37" s="1"/>
    </row>
    <row r="38" spans="13:13" x14ac:dyDescent="0.25">
      <c r="M38" s="1"/>
    </row>
    <row r="39" spans="13:13" x14ac:dyDescent="0.25">
      <c r="M39" s="1"/>
    </row>
    <row r="40" spans="13:13" x14ac:dyDescent="0.25">
      <c r="M40" s="1"/>
    </row>
    <row r="41" spans="13:13" x14ac:dyDescent="0.25">
      <c r="M41" s="1"/>
    </row>
    <row r="42" spans="13:13" x14ac:dyDescent="0.25">
      <c r="M42" s="1"/>
    </row>
    <row r="43" spans="13:13" x14ac:dyDescent="0.25">
      <c r="M43" s="1"/>
    </row>
    <row r="44" spans="13:13" x14ac:dyDescent="0.25">
      <c r="M44" s="1"/>
    </row>
    <row r="45" spans="13:13" x14ac:dyDescent="0.25">
      <c r="M45" s="1"/>
    </row>
    <row r="46" spans="13:13" x14ac:dyDescent="0.25">
      <c r="M46" s="1"/>
    </row>
    <row r="47" spans="13:13" x14ac:dyDescent="0.25">
      <c r="M47" s="1"/>
    </row>
    <row r="48" spans="13:13" x14ac:dyDescent="0.25">
      <c r="M48" s="1"/>
    </row>
    <row r="49" spans="13:13" x14ac:dyDescent="0.25">
      <c r="M49" s="1"/>
    </row>
    <row r="50" spans="13:13" x14ac:dyDescent="0.25">
      <c r="M50" s="1"/>
    </row>
    <row r="51" spans="13:13" x14ac:dyDescent="0.25">
      <c r="M51" s="1"/>
    </row>
    <row r="52" spans="13:13" x14ac:dyDescent="0.25">
      <c r="M52" s="1"/>
    </row>
    <row r="53" spans="13:13" x14ac:dyDescent="0.25">
      <c r="M53" s="1"/>
    </row>
    <row r="54" spans="13:13" x14ac:dyDescent="0.25">
      <c r="M54" s="1"/>
    </row>
    <row r="55" spans="13:13" x14ac:dyDescent="0.25">
      <c r="M55" s="1"/>
    </row>
    <row r="56" spans="13:13" x14ac:dyDescent="0.25">
      <c r="M56" s="1"/>
    </row>
    <row r="57" spans="13:13" x14ac:dyDescent="0.25">
      <c r="M57" s="1"/>
    </row>
    <row r="58" spans="13:13" x14ac:dyDescent="0.25">
      <c r="M58" s="1"/>
    </row>
    <row r="59" spans="13:13" x14ac:dyDescent="0.25">
      <c r="M59" s="1"/>
    </row>
    <row r="60" spans="13:13" x14ac:dyDescent="0.25">
      <c r="M60" s="1"/>
    </row>
    <row r="61" spans="13:13" x14ac:dyDescent="0.25">
      <c r="M61" s="1"/>
    </row>
    <row r="62" spans="13:13" x14ac:dyDescent="0.25">
      <c r="M62" s="1"/>
    </row>
    <row r="63" spans="13:13" x14ac:dyDescent="0.25">
      <c r="M63" s="1"/>
    </row>
    <row r="64" spans="13:13" x14ac:dyDescent="0.25">
      <c r="M64" s="1"/>
    </row>
    <row r="65" spans="13:13" x14ac:dyDescent="0.25">
      <c r="M65" s="1"/>
    </row>
    <row r="66" spans="13:13" x14ac:dyDescent="0.25">
      <c r="M66" s="1"/>
    </row>
    <row r="67" spans="13:13" x14ac:dyDescent="0.25">
      <c r="M67" s="1"/>
    </row>
    <row r="68" spans="13:13" x14ac:dyDescent="0.25">
      <c r="M68" s="1"/>
    </row>
    <row r="69" spans="13:13" x14ac:dyDescent="0.25">
      <c r="M69" s="1"/>
    </row>
    <row r="70" spans="13:13" x14ac:dyDescent="0.25">
      <c r="M70" s="1"/>
    </row>
    <row r="71" spans="13:13" x14ac:dyDescent="0.25">
      <c r="M71" s="1"/>
    </row>
    <row r="72" spans="13:13" x14ac:dyDescent="0.25">
      <c r="M72" s="1"/>
    </row>
    <row r="73" spans="13:13" x14ac:dyDescent="0.25">
      <c r="M73" s="1"/>
    </row>
    <row r="74" spans="13:13" x14ac:dyDescent="0.25">
      <c r="M74" s="1"/>
    </row>
    <row r="75" spans="13:13" x14ac:dyDescent="0.25">
      <c r="M75" s="1"/>
    </row>
    <row r="76" spans="13:13" x14ac:dyDescent="0.25">
      <c r="M76" s="1"/>
    </row>
    <row r="77" spans="13:13" x14ac:dyDescent="0.25">
      <c r="M77" s="1"/>
    </row>
    <row r="78" spans="13:13" x14ac:dyDescent="0.25">
      <c r="M78" s="1"/>
    </row>
    <row r="79" spans="13:13" x14ac:dyDescent="0.25">
      <c r="M79" s="1"/>
    </row>
    <row r="80" spans="13:13" x14ac:dyDescent="0.25">
      <c r="M80" s="1"/>
    </row>
    <row r="81" spans="13:13" x14ac:dyDescent="0.25">
      <c r="M81" s="1"/>
    </row>
    <row r="82" spans="13:13" x14ac:dyDescent="0.25">
      <c r="M82" s="1"/>
    </row>
    <row r="83" spans="13:13" x14ac:dyDescent="0.25">
      <c r="M83" s="1"/>
    </row>
    <row r="84" spans="13:13" x14ac:dyDescent="0.25">
      <c r="M84" s="1"/>
    </row>
    <row r="85" spans="13:13" x14ac:dyDescent="0.25">
      <c r="M85" s="1"/>
    </row>
    <row r="86" spans="13:13" x14ac:dyDescent="0.25">
      <c r="M86" s="1"/>
    </row>
    <row r="87" spans="13:13" x14ac:dyDescent="0.25">
      <c r="M87" s="1"/>
    </row>
    <row r="88" spans="13:13" x14ac:dyDescent="0.25">
      <c r="M88" s="1"/>
    </row>
    <row r="89" spans="13:13" x14ac:dyDescent="0.25">
      <c r="M89" s="1"/>
    </row>
    <row r="90" spans="13:13" x14ac:dyDescent="0.25">
      <c r="M90" s="1"/>
    </row>
    <row r="91" spans="13:13" x14ac:dyDescent="0.25">
      <c r="M91" s="1"/>
    </row>
    <row r="92" spans="13:13" x14ac:dyDescent="0.25">
      <c r="M92" s="1"/>
    </row>
    <row r="93" spans="13:13" x14ac:dyDescent="0.25">
      <c r="M93" s="1"/>
    </row>
    <row r="94" spans="13:13" x14ac:dyDescent="0.25">
      <c r="M94" s="1"/>
    </row>
    <row r="95" spans="13:13" x14ac:dyDescent="0.25">
      <c r="M95" s="1"/>
    </row>
    <row r="96" spans="13:13" x14ac:dyDescent="0.25">
      <c r="M96" s="1"/>
    </row>
    <row r="97" spans="13:13" x14ac:dyDescent="0.25">
      <c r="M97" s="1"/>
    </row>
    <row r="98" spans="13:13" x14ac:dyDescent="0.25">
      <c r="M98" s="1"/>
    </row>
    <row r="99" spans="13:13" x14ac:dyDescent="0.25">
      <c r="M99" s="1"/>
    </row>
    <row r="100" spans="13:13" x14ac:dyDescent="0.25">
      <c r="M100" s="1"/>
    </row>
    <row r="101" spans="13:13" x14ac:dyDescent="0.25">
      <c r="M101" s="1"/>
    </row>
    <row r="102" spans="13:13" x14ac:dyDescent="0.25">
      <c r="M102" s="1"/>
    </row>
    <row r="103" spans="13:13" x14ac:dyDescent="0.25">
      <c r="M103" s="1"/>
    </row>
    <row r="104" spans="13:13" x14ac:dyDescent="0.25">
      <c r="M104" s="1"/>
    </row>
    <row r="105" spans="13:13" x14ac:dyDescent="0.25">
      <c r="M105" s="1"/>
    </row>
    <row r="106" spans="13:13" x14ac:dyDescent="0.25">
      <c r="M106" s="1"/>
    </row>
    <row r="107" spans="13:13" x14ac:dyDescent="0.25">
      <c r="M107" s="1"/>
    </row>
    <row r="108" spans="13:13" x14ac:dyDescent="0.25">
      <c r="M108" s="1"/>
    </row>
    <row r="109" spans="13:13" x14ac:dyDescent="0.25">
      <c r="M109" s="1"/>
    </row>
    <row r="110" spans="13:13" x14ac:dyDescent="0.25">
      <c r="M110" s="1"/>
    </row>
    <row r="111" spans="13:13" x14ac:dyDescent="0.25">
      <c r="M111" s="1"/>
    </row>
    <row r="112" spans="13:13" x14ac:dyDescent="0.25">
      <c r="M112" s="1"/>
    </row>
    <row r="113" spans="13:13" x14ac:dyDescent="0.25">
      <c r="M113" s="1"/>
    </row>
    <row r="114" spans="13:13" x14ac:dyDescent="0.25">
      <c r="M114" s="1"/>
    </row>
    <row r="115" spans="13:13" x14ac:dyDescent="0.25">
      <c r="M115" s="1"/>
    </row>
    <row r="116" spans="13:13" x14ac:dyDescent="0.25">
      <c r="M116" s="1"/>
    </row>
    <row r="117" spans="13:13" x14ac:dyDescent="0.25">
      <c r="M117" s="1"/>
    </row>
    <row r="118" spans="13:13" x14ac:dyDescent="0.25">
      <c r="M118" s="1"/>
    </row>
    <row r="119" spans="13:13" x14ac:dyDescent="0.25">
      <c r="M119" s="1"/>
    </row>
    <row r="120" spans="13:13" x14ac:dyDescent="0.25">
      <c r="M120" s="1"/>
    </row>
    <row r="121" spans="13:13" x14ac:dyDescent="0.25">
      <c r="M121" s="1"/>
    </row>
    <row r="122" spans="13:13" x14ac:dyDescent="0.25">
      <c r="M122" s="1"/>
    </row>
    <row r="123" spans="13:13" x14ac:dyDescent="0.25">
      <c r="M123" s="1"/>
    </row>
    <row r="124" spans="13:13" x14ac:dyDescent="0.25">
      <c r="M124" s="1"/>
    </row>
    <row r="125" spans="13:13" x14ac:dyDescent="0.25">
      <c r="M125" s="1"/>
    </row>
    <row r="126" spans="13:13" x14ac:dyDescent="0.25">
      <c r="M126" s="1"/>
    </row>
    <row r="127" spans="13:13" x14ac:dyDescent="0.25">
      <c r="M127" s="1"/>
    </row>
    <row r="128" spans="13:13" x14ac:dyDescent="0.25">
      <c r="M128" s="1"/>
    </row>
    <row r="129" spans="13:13" x14ac:dyDescent="0.25">
      <c r="M129" s="1"/>
    </row>
    <row r="130" spans="13:13" x14ac:dyDescent="0.25">
      <c r="M130" s="1"/>
    </row>
    <row r="131" spans="13:13" x14ac:dyDescent="0.25">
      <c r="M131" s="1"/>
    </row>
    <row r="132" spans="13:13" x14ac:dyDescent="0.25">
      <c r="M132" s="1"/>
    </row>
    <row r="133" spans="13:13" x14ac:dyDescent="0.25">
      <c r="M133" s="1"/>
    </row>
    <row r="134" spans="13:13" x14ac:dyDescent="0.25">
      <c r="M134" s="1"/>
    </row>
    <row r="135" spans="13:13" x14ac:dyDescent="0.25">
      <c r="M135" s="1"/>
    </row>
    <row r="136" spans="13:13" x14ac:dyDescent="0.25">
      <c r="M136" s="1"/>
    </row>
    <row r="137" spans="13:13" x14ac:dyDescent="0.25">
      <c r="M137" s="1"/>
    </row>
    <row r="138" spans="13:13" x14ac:dyDescent="0.25">
      <c r="M138" s="1"/>
    </row>
    <row r="139" spans="13:13" x14ac:dyDescent="0.25">
      <c r="M139" s="1"/>
    </row>
    <row r="140" spans="13:13" x14ac:dyDescent="0.25">
      <c r="M140" s="1"/>
    </row>
    <row r="141" spans="13:13" x14ac:dyDescent="0.25">
      <c r="M141" s="1"/>
    </row>
    <row r="142" spans="13:13" x14ac:dyDescent="0.25">
      <c r="M142" s="1"/>
    </row>
    <row r="143" spans="13:13" x14ac:dyDescent="0.25">
      <c r="M143" s="1"/>
    </row>
    <row r="144" spans="13:13" x14ac:dyDescent="0.25">
      <c r="M144" s="1"/>
    </row>
    <row r="145" spans="13:13" x14ac:dyDescent="0.25">
      <c r="M145" s="1"/>
    </row>
    <row r="146" spans="13:13" x14ac:dyDescent="0.25">
      <c r="M146" s="1"/>
    </row>
    <row r="147" spans="13:13" x14ac:dyDescent="0.25">
      <c r="M147" s="1"/>
    </row>
    <row r="148" spans="13:13" x14ac:dyDescent="0.25">
      <c r="M148" s="1"/>
    </row>
    <row r="149" spans="13:13" x14ac:dyDescent="0.25">
      <c r="M149" s="1"/>
    </row>
    <row r="150" spans="13:13" x14ac:dyDescent="0.25">
      <c r="M150" s="1"/>
    </row>
    <row r="151" spans="13:13" x14ac:dyDescent="0.25">
      <c r="M151" s="1"/>
    </row>
    <row r="152" spans="13:13" x14ac:dyDescent="0.25">
      <c r="M152" s="1"/>
    </row>
    <row r="153" spans="13:13" x14ac:dyDescent="0.25">
      <c r="M153" s="1"/>
    </row>
    <row r="154" spans="13:13" x14ac:dyDescent="0.25">
      <c r="M154" s="1"/>
    </row>
    <row r="155" spans="13:13" x14ac:dyDescent="0.25">
      <c r="M155" s="1"/>
    </row>
    <row r="156" spans="13:13" x14ac:dyDescent="0.25">
      <c r="M156" s="1"/>
    </row>
    <row r="157" spans="13:13" x14ac:dyDescent="0.25">
      <c r="M157" s="1"/>
    </row>
    <row r="158" spans="13:13" x14ac:dyDescent="0.25">
      <c r="M158" s="1"/>
    </row>
    <row r="159" spans="13:13" x14ac:dyDescent="0.25">
      <c r="M159" s="1"/>
    </row>
    <row r="160" spans="13:13" x14ac:dyDescent="0.25">
      <c r="M160" s="1"/>
    </row>
    <row r="161" spans="13:13" x14ac:dyDescent="0.25">
      <c r="M161" s="1"/>
    </row>
    <row r="162" spans="13:13" x14ac:dyDescent="0.25">
      <c r="M162" s="1"/>
    </row>
    <row r="163" spans="13:13" x14ac:dyDescent="0.25">
      <c r="M163" s="1"/>
    </row>
    <row r="164" spans="13:13" x14ac:dyDescent="0.25">
      <c r="M164" s="1"/>
    </row>
    <row r="165" spans="13:13" x14ac:dyDescent="0.25">
      <c r="M165" s="1"/>
    </row>
    <row r="166" spans="13:13" x14ac:dyDescent="0.25">
      <c r="M166" s="1"/>
    </row>
    <row r="167" spans="13:13" x14ac:dyDescent="0.25">
      <c r="M167" s="1"/>
    </row>
    <row r="168" spans="13:13" x14ac:dyDescent="0.25">
      <c r="M168" s="1"/>
    </row>
    <row r="169" spans="13:13" x14ac:dyDescent="0.25">
      <c r="M169" s="1"/>
    </row>
    <row r="170" spans="13:13" x14ac:dyDescent="0.25">
      <c r="M170" s="1"/>
    </row>
    <row r="171" spans="13:13" x14ac:dyDescent="0.25">
      <c r="M171" s="1"/>
    </row>
    <row r="172" spans="13:13" x14ac:dyDescent="0.25">
      <c r="M172" s="1"/>
    </row>
    <row r="173" spans="13:13" x14ac:dyDescent="0.25">
      <c r="M173" s="1"/>
    </row>
    <row r="174" spans="13:13" x14ac:dyDescent="0.25">
      <c r="M174" s="1"/>
    </row>
    <row r="175" spans="13:13" x14ac:dyDescent="0.25">
      <c r="M175" s="1"/>
    </row>
    <row r="176" spans="13:13" x14ac:dyDescent="0.25">
      <c r="M176" s="1"/>
    </row>
    <row r="177" spans="13:13" x14ac:dyDescent="0.25">
      <c r="M177" s="1"/>
    </row>
    <row r="178" spans="13:13" x14ac:dyDescent="0.25">
      <c r="M178" s="1"/>
    </row>
    <row r="179" spans="13:13" x14ac:dyDescent="0.25">
      <c r="M179" s="1"/>
    </row>
    <row r="180" spans="13:13" x14ac:dyDescent="0.25">
      <c r="M180" s="1"/>
    </row>
    <row r="181" spans="13:13" x14ac:dyDescent="0.25">
      <c r="M181" s="1"/>
    </row>
    <row r="182" spans="13:13" x14ac:dyDescent="0.25">
      <c r="M182" s="1"/>
    </row>
    <row r="183" spans="13:13" x14ac:dyDescent="0.25">
      <c r="M183" s="1"/>
    </row>
    <row r="184" spans="13:13" x14ac:dyDescent="0.25">
      <c r="M184" s="1"/>
    </row>
    <row r="185" spans="13:13" x14ac:dyDescent="0.25">
      <c r="M185" s="1"/>
    </row>
    <row r="186" spans="13:13" x14ac:dyDescent="0.25">
      <c r="M186" s="1"/>
    </row>
    <row r="187" spans="13:13" x14ac:dyDescent="0.25">
      <c r="M187" s="1"/>
    </row>
    <row r="188" spans="13:13" x14ac:dyDescent="0.25">
      <c r="M188" s="1"/>
    </row>
    <row r="189" spans="13:13" x14ac:dyDescent="0.25">
      <c r="M189" s="1"/>
    </row>
    <row r="190" spans="13:13" x14ac:dyDescent="0.25">
      <c r="M190" s="1"/>
    </row>
    <row r="191" spans="13:13" x14ac:dyDescent="0.25">
      <c r="M191" s="1"/>
    </row>
    <row r="192" spans="13:13" x14ac:dyDescent="0.25">
      <c r="M192" s="1"/>
    </row>
    <row r="193" spans="13:13" x14ac:dyDescent="0.25">
      <c r="M193" s="1"/>
    </row>
    <row r="194" spans="13:13" x14ac:dyDescent="0.25">
      <c r="M194" s="1"/>
    </row>
    <row r="195" spans="13:13" x14ac:dyDescent="0.25">
      <c r="M195" s="1"/>
    </row>
    <row r="196" spans="13:13" x14ac:dyDescent="0.25">
      <c r="M196" s="1"/>
    </row>
    <row r="197" spans="13:13" x14ac:dyDescent="0.25">
      <c r="M197" s="1"/>
    </row>
    <row r="198" spans="13:13" x14ac:dyDescent="0.25">
      <c r="M198" s="1"/>
    </row>
    <row r="199" spans="13:13" x14ac:dyDescent="0.25">
      <c r="M199" s="1"/>
    </row>
    <row r="200" spans="13:13" x14ac:dyDescent="0.25">
      <c r="M200" s="1"/>
    </row>
    <row r="201" spans="13:13" x14ac:dyDescent="0.25">
      <c r="M201" s="1"/>
    </row>
    <row r="202" spans="13:13" x14ac:dyDescent="0.25">
      <c r="M202" s="1"/>
    </row>
    <row r="203" spans="13:13" x14ac:dyDescent="0.25">
      <c r="M203" s="1"/>
    </row>
    <row r="204" spans="13:13" x14ac:dyDescent="0.25">
      <c r="M204" s="1"/>
    </row>
    <row r="205" spans="13:13" x14ac:dyDescent="0.25">
      <c r="M205" s="1"/>
    </row>
    <row r="206" spans="13:13" x14ac:dyDescent="0.25">
      <c r="M206" s="1"/>
    </row>
    <row r="207" spans="13:13" x14ac:dyDescent="0.25">
      <c r="M207" s="1"/>
    </row>
    <row r="208" spans="13:13" x14ac:dyDescent="0.25">
      <c r="M208" s="1"/>
    </row>
    <row r="209" spans="13:13" x14ac:dyDescent="0.25">
      <c r="M209" s="1"/>
    </row>
    <row r="210" spans="13:13" x14ac:dyDescent="0.25">
      <c r="M210" s="1"/>
    </row>
    <row r="211" spans="13:13" x14ac:dyDescent="0.25">
      <c r="M211" s="1"/>
    </row>
    <row r="212" spans="13:13" x14ac:dyDescent="0.25">
      <c r="M212" s="1"/>
    </row>
    <row r="213" spans="13:13" x14ac:dyDescent="0.25">
      <c r="M213" s="1"/>
    </row>
    <row r="214" spans="13:13" x14ac:dyDescent="0.25">
      <c r="M214" s="1"/>
    </row>
    <row r="215" spans="13:13" x14ac:dyDescent="0.25">
      <c r="M215" s="1"/>
    </row>
    <row r="216" spans="13:13" x14ac:dyDescent="0.25">
      <c r="M216" s="1"/>
    </row>
    <row r="217" spans="13:13" x14ac:dyDescent="0.25">
      <c r="M217" s="1"/>
    </row>
    <row r="218" spans="13:13" x14ac:dyDescent="0.25">
      <c r="M218" s="1"/>
    </row>
    <row r="219" spans="13:13" x14ac:dyDescent="0.25">
      <c r="M219" s="1"/>
    </row>
    <row r="220" spans="13:13" x14ac:dyDescent="0.25">
      <c r="M220" s="1"/>
    </row>
    <row r="221" spans="13:13" x14ac:dyDescent="0.25">
      <c r="M221" s="1"/>
    </row>
    <row r="222" spans="13:13" x14ac:dyDescent="0.25">
      <c r="M222" s="1"/>
    </row>
    <row r="223" spans="13:13" x14ac:dyDescent="0.25">
      <c r="M223" s="1"/>
    </row>
    <row r="224" spans="13:13" x14ac:dyDescent="0.25">
      <c r="M224" s="1"/>
    </row>
    <row r="225" spans="13:13" x14ac:dyDescent="0.25">
      <c r="M225" s="1"/>
    </row>
    <row r="226" spans="13:13" x14ac:dyDescent="0.25">
      <c r="M226" s="1"/>
    </row>
    <row r="227" spans="13:13" x14ac:dyDescent="0.25">
      <c r="M227" s="1"/>
    </row>
    <row r="228" spans="13:13" x14ac:dyDescent="0.25">
      <c r="M228" s="1"/>
    </row>
    <row r="229" spans="13:13" x14ac:dyDescent="0.25">
      <c r="M229" s="1"/>
    </row>
    <row r="230" spans="13:13" x14ac:dyDescent="0.25">
      <c r="M230" s="1"/>
    </row>
    <row r="231" spans="13:13" x14ac:dyDescent="0.25">
      <c r="M231" s="1"/>
    </row>
    <row r="232" spans="13:13" x14ac:dyDescent="0.25">
      <c r="M232" s="1"/>
    </row>
    <row r="233" spans="13:13" x14ac:dyDescent="0.25">
      <c r="M233" s="1"/>
    </row>
    <row r="234" spans="13:13" x14ac:dyDescent="0.25">
      <c r="M234" s="1"/>
    </row>
    <row r="235" spans="13:13" x14ac:dyDescent="0.25">
      <c r="M235" s="1"/>
    </row>
    <row r="236" spans="13:13" x14ac:dyDescent="0.25">
      <c r="M236" s="1"/>
    </row>
    <row r="237" spans="13:13" x14ac:dyDescent="0.25">
      <c r="M237" s="1"/>
    </row>
    <row r="238" spans="13:13" x14ac:dyDescent="0.25">
      <c r="M238" s="1"/>
    </row>
    <row r="239" spans="13:13" x14ac:dyDescent="0.25">
      <c r="M239" s="1"/>
    </row>
    <row r="240" spans="13:13" x14ac:dyDescent="0.25">
      <c r="M240" s="1"/>
    </row>
    <row r="241" spans="13:13" x14ac:dyDescent="0.25">
      <c r="M241" s="1"/>
    </row>
    <row r="242" spans="13:13" x14ac:dyDescent="0.25">
      <c r="M242" s="1"/>
    </row>
    <row r="243" spans="13:13" x14ac:dyDescent="0.25">
      <c r="M243" s="1"/>
    </row>
    <row r="244" spans="13:13" x14ac:dyDescent="0.25">
      <c r="M244" s="1"/>
    </row>
    <row r="245" spans="13:13" x14ac:dyDescent="0.25">
      <c r="M245" s="1"/>
    </row>
    <row r="246" spans="13:13" x14ac:dyDescent="0.25">
      <c r="M246" s="1"/>
    </row>
    <row r="247" spans="13:13" x14ac:dyDescent="0.25">
      <c r="M247" s="1"/>
    </row>
    <row r="248" spans="13:13" x14ac:dyDescent="0.25">
      <c r="M248" s="1"/>
    </row>
    <row r="249" spans="13:13" x14ac:dyDescent="0.25">
      <c r="M249" s="1"/>
    </row>
    <row r="250" spans="13:13" x14ac:dyDescent="0.25">
      <c r="M250" s="1"/>
    </row>
    <row r="251" spans="13:13" x14ac:dyDescent="0.25">
      <c r="M251" s="1"/>
    </row>
    <row r="252" spans="13:13" x14ac:dyDescent="0.25">
      <c r="M252" s="1"/>
    </row>
    <row r="253" spans="13:13" x14ac:dyDescent="0.25">
      <c r="M253" s="1"/>
    </row>
    <row r="254" spans="13:13" x14ac:dyDescent="0.25">
      <c r="M254" s="1"/>
    </row>
    <row r="255" spans="13:13" x14ac:dyDescent="0.25">
      <c r="M255" s="1"/>
    </row>
    <row r="256" spans="13:13" x14ac:dyDescent="0.25">
      <c r="M256" s="1"/>
    </row>
    <row r="257" spans="13:13" x14ac:dyDescent="0.25">
      <c r="M257" s="1"/>
    </row>
    <row r="258" spans="13:13" x14ac:dyDescent="0.25">
      <c r="M258" s="1"/>
    </row>
    <row r="259" spans="13:13" x14ac:dyDescent="0.25">
      <c r="M259" s="1"/>
    </row>
    <row r="260" spans="13:13" x14ac:dyDescent="0.25">
      <c r="M260" s="1"/>
    </row>
    <row r="261" spans="13:13" x14ac:dyDescent="0.25">
      <c r="M261" s="1"/>
    </row>
    <row r="262" spans="13:13" x14ac:dyDescent="0.25">
      <c r="M262" s="1"/>
    </row>
    <row r="263" spans="13:13" x14ac:dyDescent="0.25">
      <c r="M263" s="1"/>
    </row>
    <row r="264" spans="13:13" x14ac:dyDescent="0.25">
      <c r="M264" s="1"/>
    </row>
    <row r="265" spans="13:13" x14ac:dyDescent="0.25">
      <c r="M265" s="1"/>
    </row>
    <row r="266" spans="13:13" x14ac:dyDescent="0.25">
      <c r="M266" s="1"/>
    </row>
    <row r="267" spans="13:13" x14ac:dyDescent="0.25">
      <c r="M267" s="1"/>
    </row>
    <row r="268" spans="13:13" x14ac:dyDescent="0.25">
      <c r="M268" s="1"/>
    </row>
    <row r="269" spans="13:13" x14ac:dyDescent="0.25">
      <c r="M269" s="1"/>
    </row>
    <row r="270" spans="13:13" x14ac:dyDescent="0.25">
      <c r="M270" s="1"/>
    </row>
    <row r="271" spans="13:13" x14ac:dyDescent="0.25">
      <c r="M271" s="1"/>
    </row>
    <row r="272" spans="13:13" x14ac:dyDescent="0.25">
      <c r="M272" s="1"/>
    </row>
    <row r="273" spans="13:13" x14ac:dyDescent="0.25">
      <c r="M273" s="1"/>
    </row>
    <row r="274" spans="13:13" x14ac:dyDescent="0.25">
      <c r="M274" s="1"/>
    </row>
    <row r="275" spans="13:13" x14ac:dyDescent="0.25">
      <c r="M275" s="1"/>
    </row>
    <row r="276" spans="13:13" x14ac:dyDescent="0.25">
      <c r="M276" s="1"/>
    </row>
    <row r="277" spans="13:13" x14ac:dyDescent="0.25">
      <c r="M277" s="1"/>
    </row>
    <row r="278" spans="13:13" x14ac:dyDescent="0.25">
      <c r="M278" s="1"/>
    </row>
    <row r="279" spans="13:13" x14ac:dyDescent="0.25">
      <c r="M279" s="1"/>
    </row>
    <row r="280" spans="13:13" x14ac:dyDescent="0.25">
      <c r="M280" s="1"/>
    </row>
    <row r="281" spans="13:13" x14ac:dyDescent="0.25">
      <c r="M281" s="1"/>
    </row>
    <row r="282" spans="13:13" x14ac:dyDescent="0.25">
      <c r="M282" s="1"/>
    </row>
    <row r="283" spans="13:13" x14ac:dyDescent="0.25">
      <c r="M283" s="1"/>
    </row>
    <row r="284" spans="13:13" x14ac:dyDescent="0.25">
      <c r="M284" s="1"/>
    </row>
    <row r="285" spans="13:13" x14ac:dyDescent="0.25">
      <c r="M285" s="1"/>
    </row>
    <row r="286" spans="13:13" x14ac:dyDescent="0.25">
      <c r="M286" s="1"/>
    </row>
    <row r="287" spans="13:13" x14ac:dyDescent="0.25">
      <c r="M287" s="1"/>
    </row>
    <row r="288" spans="13:13" x14ac:dyDescent="0.25">
      <c r="M288" s="1"/>
    </row>
    <row r="289" spans="13:13" x14ac:dyDescent="0.25">
      <c r="M289" s="1"/>
    </row>
    <row r="290" spans="13:13" x14ac:dyDescent="0.25">
      <c r="M290" s="1"/>
    </row>
    <row r="291" spans="13:13" x14ac:dyDescent="0.25">
      <c r="M291" s="1"/>
    </row>
    <row r="292" spans="13:13" x14ac:dyDescent="0.25">
      <c r="M292" s="1"/>
    </row>
    <row r="293" spans="13:13" x14ac:dyDescent="0.25">
      <c r="M293" s="1"/>
    </row>
    <row r="294" spans="13:13" x14ac:dyDescent="0.25">
      <c r="M294" s="1"/>
    </row>
    <row r="295" spans="13:13" x14ac:dyDescent="0.25">
      <c r="M295" s="1"/>
    </row>
  </sheetData>
  <protectedRanges>
    <protectedRange sqref="F9:G9 A8:E8 I9 J8:K9 H8:I8" name="Range1"/>
    <protectedRange sqref="H9" name="Range1_1"/>
    <protectedRange sqref="F8:G8" name="Range1_2"/>
    <protectedRange sqref="A9:E9" name="Range1_3"/>
  </protectedRanges>
  <mergeCells count="1">
    <mergeCell ref="B2:B3"/>
  </mergeCells>
  <dataValidations count="1">
    <dataValidation type="list" allowBlank="1" showInputMessage="1" showErrorMessage="1" sqref="J4">
      <formula1>INDIRECT("BuildTypes")</formula1>
    </dataValidation>
  </dataValidations>
  <pageMargins left="0.7" right="0.7" top="0.75" bottom="0.75" header="0.3" footer="0.3"/>
  <pageSetup orientation="portrait" verticalDpi="4"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refilter">
                <anchor>
                  <from>
                    <xdr:col>3</xdr:col>
                    <xdr:colOff>66675</xdr:colOff>
                    <xdr:row>4</xdr:row>
                    <xdr:rowOff>142875</xdr:rowOff>
                  </from>
                  <to>
                    <xdr:col>4</xdr:col>
                    <xdr:colOff>295275</xdr:colOff>
                    <xdr:row>6</xdr:row>
                    <xdr:rowOff>0</xdr:rowOff>
                  </to>
                </anchor>
              </controlPr>
            </control>
          </mc:Choice>
        </mc:AlternateContent>
        <mc:AlternateContent xmlns:mc="http://schemas.openxmlformats.org/markup-compatibility/2006">
          <mc:Choice Requires="x14">
            <control shapeId="1028" r:id="rId5" name="Button 4">
              <controlPr defaultSize="0" print="0" autoFill="0" autoPict="0" macro="[0]!destroyfilter">
                <anchor>
                  <from>
                    <xdr:col>4</xdr:col>
                    <xdr:colOff>371475</xdr:colOff>
                    <xdr:row>4</xdr:row>
                    <xdr:rowOff>142875</xdr:rowOff>
                  </from>
                  <to>
                    <xdr:col>5</xdr:col>
                    <xdr:colOff>847725</xdr:colOff>
                    <xdr:row>6</xdr:row>
                    <xdr:rowOff>0</xdr:rowOff>
                  </to>
                </anchor>
              </controlPr>
            </control>
          </mc:Choice>
        </mc:AlternateContent>
        <mc:AlternateContent xmlns:mc="http://schemas.openxmlformats.org/markup-compatibility/2006">
          <mc:Choice Requires="x14">
            <control shapeId="1029" r:id="rId6" name="Button 5">
              <controlPr defaultSize="0" print="0" autoFill="0" autoPict="0" macro="[0]!module_obsoleteItems.obsoleteItems">
                <anchor>
                  <from>
                    <xdr:col>3</xdr:col>
                    <xdr:colOff>66675</xdr:colOff>
                    <xdr:row>2</xdr:row>
                    <xdr:rowOff>161925</xdr:rowOff>
                  </from>
                  <to>
                    <xdr:col>4</xdr:col>
                    <xdr:colOff>285750</xdr:colOff>
                    <xdr:row>4</xdr:row>
                    <xdr:rowOff>19050</xdr:rowOff>
                  </to>
                </anchor>
              </controlPr>
            </control>
          </mc:Choice>
        </mc:AlternateContent>
        <mc:AlternateContent xmlns:mc="http://schemas.openxmlformats.org/markup-compatibility/2006">
          <mc:Choice Requires="x14">
            <control shapeId="1031" r:id="rId7" name="Button 7">
              <controlPr defaultSize="0" print="0" autoFill="0" autoPict="0" macro="[0]!Sheet6.checkMinors">
                <anchor>
                  <from>
                    <xdr:col>4</xdr:col>
                    <xdr:colOff>381000</xdr:colOff>
                    <xdr:row>2</xdr:row>
                    <xdr:rowOff>161925</xdr:rowOff>
                  </from>
                  <to>
                    <xdr:col>5</xdr:col>
                    <xdr:colOff>838200</xdr:colOff>
                    <xdr:row>4</xdr:row>
                    <xdr:rowOff>9525</xdr:rowOff>
                  </to>
                </anchor>
              </controlPr>
            </control>
          </mc:Choice>
        </mc:AlternateContent>
        <mc:AlternateContent xmlns:mc="http://schemas.openxmlformats.org/markup-compatibility/2006">
          <mc:Choice Requires="x14">
            <control shapeId="1035" r:id="rId8" name="Button 11">
              <controlPr defaultSize="0" print="0" autoFill="0" autoPict="0" macro="[0]!createRevision">
                <anchor>
                  <from>
                    <xdr:col>6</xdr:col>
                    <xdr:colOff>19050</xdr:colOff>
                    <xdr:row>4</xdr:row>
                    <xdr:rowOff>142875</xdr:rowOff>
                  </from>
                  <to>
                    <xdr:col>6</xdr:col>
                    <xdr:colOff>1133475</xdr:colOff>
                    <xdr:row>6</xdr:row>
                    <xdr:rowOff>0</xdr:rowOff>
                  </to>
                </anchor>
              </controlPr>
            </control>
          </mc:Choice>
        </mc:AlternateContent>
        <mc:AlternateContent xmlns:mc="http://schemas.openxmlformats.org/markup-compatibility/2006">
          <mc:Choice Requires="x14">
            <control shapeId="1040" r:id="rId9" name="Button 16">
              <controlPr defaultSize="0" print="0" autoFill="0" autoPict="0" macro="[0]!Sheet1.updateData">
                <anchor>
                  <from>
                    <xdr:col>6</xdr:col>
                    <xdr:colOff>9525</xdr:colOff>
                    <xdr:row>2</xdr:row>
                    <xdr:rowOff>152400</xdr:rowOff>
                  </from>
                  <to>
                    <xdr:col>6</xdr:col>
                    <xdr:colOff>1133475</xdr:colOff>
                    <xdr:row>4</xdr:row>
                    <xdr:rowOff>9525</xdr:rowOff>
                  </to>
                </anchor>
              </controlPr>
            </control>
          </mc:Choice>
        </mc:AlternateContent>
        <mc:AlternateContent xmlns:mc="http://schemas.openxmlformats.org/markup-compatibility/2006">
          <mc:Choice Requires="x14">
            <control shapeId="1025" r:id="rId10" name="Button 1">
              <controlPr defaultSize="0" print="0" autoFill="0" autoPict="0" macro="[0]!Sheet1.transfersheet">
                <anchor>
                  <from>
                    <xdr:col>3</xdr:col>
                    <xdr:colOff>76200</xdr:colOff>
                    <xdr:row>1</xdr:row>
                    <xdr:rowOff>19050</xdr:rowOff>
                  </from>
                  <to>
                    <xdr:col>4</xdr:col>
                    <xdr:colOff>295275</xdr:colOff>
                    <xdr:row>2</xdr:row>
                    <xdr:rowOff>57150</xdr:rowOff>
                  </to>
                </anchor>
              </controlPr>
            </control>
          </mc:Choice>
        </mc:AlternateContent>
        <mc:AlternateContent xmlns:mc="http://schemas.openxmlformats.org/markup-compatibility/2006">
          <mc:Choice Requires="x14">
            <control shapeId="1026" r:id="rId11" name="Button 2">
              <controlPr defaultSize="0" print="0" autoFill="0" autoPict="0" macro="[0]!transferBOM">
                <anchor>
                  <from>
                    <xdr:col>4</xdr:col>
                    <xdr:colOff>371475</xdr:colOff>
                    <xdr:row>1</xdr:row>
                    <xdr:rowOff>19050</xdr:rowOff>
                  </from>
                  <to>
                    <xdr:col>5</xdr:col>
                    <xdr:colOff>847725</xdr:colOff>
                    <xdr:row>2</xdr:row>
                    <xdr:rowOff>57150</xdr:rowOff>
                  </to>
                </anchor>
              </controlPr>
            </control>
          </mc:Choice>
        </mc:AlternateContent>
      </controls>
    </mc:Choice>
  </mc:AlternateContent>
  <tableParts count="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R2013"/>
  <sheetViews>
    <sheetView workbookViewId="0"/>
  </sheetViews>
  <sheetFormatPr defaultColWidth="9.140625" defaultRowHeight="15" x14ac:dyDescent="0.25"/>
  <cols>
    <col min="1" max="3" width="9.140625" style="1"/>
    <col min="4" max="6" width="9.140625" style="2"/>
    <col min="7" max="7" width="9.140625" style="1"/>
    <col min="8" max="10" width="9.140625" style="2"/>
    <col min="11" max="11" width="9.140625" style="3"/>
    <col min="12" max="12" width="9.140625" style="5"/>
    <col min="13" max="15" width="9.140625" style="2"/>
    <col min="16" max="16" width="9.140625" style="1"/>
    <col min="17" max="18" width="9.140625" style="4"/>
    <col min="19" max="16384" width="9.140625" style="1"/>
  </cols>
  <sheetData>
    <row r="2" spans="1:11" x14ac:dyDescent="0.25">
      <c r="B2" s="1" t="s">
        <v>2078</v>
      </c>
      <c r="I2" s="2" t="s">
        <v>2077</v>
      </c>
      <c r="J2" s="15">
        <v>0</v>
      </c>
    </row>
    <row r="4" spans="1:11" x14ac:dyDescent="0.25">
      <c r="A4" s="1" t="s">
        <v>2079</v>
      </c>
      <c r="I4" s="2" t="s">
        <v>630</v>
      </c>
    </row>
    <row r="5" spans="1:11" x14ac:dyDescent="0.25">
      <c r="A5" s="1" t="s">
        <v>2080</v>
      </c>
      <c r="I5" s="2" t="s">
        <v>2024</v>
      </c>
    </row>
    <row r="6" spans="1:11" x14ac:dyDescent="0.25">
      <c r="A6" s="1" t="s">
        <v>2081</v>
      </c>
      <c r="I6" s="2" t="s">
        <v>2025</v>
      </c>
    </row>
    <row r="8" spans="1:11" x14ac:dyDescent="0.25">
      <c r="A8" s="1" t="s">
        <v>2082</v>
      </c>
      <c r="B8" s="1" t="s">
        <v>2074</v>
      </c>
      <c r="C8" s="1" t="s">
        <v>2075</v>
      </c>
      <c r="D8" s="2" t="s">
        <v>629</v>
      </c>
      <c r="E8" s="2" t="s">
        <v>27</v>
      </c>
      <c r="F8" s="2" t="s">
        <v>2072</v>
      </c>
      <c r="G8" s="1" t="s">
        <v>2073</v>
      </c>
      <c r="H8" s="2" t="s">
        <v>2076</v>
      </c>
      <c r="I8" s="2" t="s">
        <v>2034</v>
      </c>
      <c r="J8" s="2" t="s">
        <v>784</v>
      </c>
      <c r="K8" s="3" t="s">
        <v>785</v>
      </c>
    </row>
    <row r="9" spans="1:11" x14ac:dyDescent="0.25">
      <c r="A9" s="1">
        <v>2369345</v>
      </c>
      <c r="B9" s="1" t="s">
        <v>581</v>
      </c>
      <c r="D9" s="2">
        <v>0</v>
      </c>
      <c r="E9" s="2" t="s">
        <v>0</v>
      </c>
      <c r="F9" s="2" t="s">
        <v>42</v>
      </c>
      <c r="G9" s="1" t="s">
        <v>1968</v>
      </c>
      <c r="H9" s="2">
        <v>1</v>
      </c>
      <c r="I9" s="2">
        <v>7</v>
      </c>
      <c r="J9" s="15">
        <v>668.48</v>
      </c>
      <c r="K9" s="40">
        <v>0</v>
      </c>
    </row>
    <row r="10" spans="1:11" x14ac:dyDescent="0.25">
      <c r="A10" s="1">
        <v>1909988</v>
      </c>
      <c r="B10" s="1" t="s">
        <v>536</v>
      </c>
      <c r="D10" s="2">
        <v>0</v>
      </c>
      <c r="E10" s="2" t="s">
        <v>0</v>
      </c>
      <c r="F10" s="2" t="s">
        <v>42</v>
      </c>
      <c r="G10" s="1" t="s">
        <v>1969</v>
      </c>
      <c r="H10" s="2">
        <v>1</v>
      </c>
      <c r="I10" s="2">
        <v>7</v>
      </c>
      <c r="J10" s="15">
        <v>1522.37</v>
      </c>
      <c r="K10" s="40">
        <v>0</v>
      </c>
    </row>
    <row r="11" spans="1:11" x14ac:dyDescent="0.25">
      <c r="A11" s="1">
        <v>1096401</v>
      </c>
      <c r="B11" s="1" t="s">
        <v>44</v>
      </c>
      <c r="D11" s="2">
        <v>0</v>
      </c>
      <c r="E11" s="2" t="s">
        <v>131</v>
      </c>
      <c r="F11" s="2" t="s">
        <v>41</v>
      </c>
      <c r="G11" s="1" t="s">
        <v>1968</v>
      </c>
      <c r="H11" s="2">
        <v>1</v>
      </c>
      <c r="I11" s="2">
        <v>7</v>
      </c>
      <c r="J11" s="15">
        <v>43.65</v>
      </c>
      <c r="K11" s="40">
        <v>0</v>
      </c>
    </row>
    <row r="12" spans="1:11" x14ac:dyDescent="0.25">
      <c r="A12" s="1">
        <v>2285180</v>
      </c>
      <c r="B12" s="1" t="s">
        <v>45</v>
      </c>
      <c r="D12" s="2">
        <v>0</v>
      </c>
      <c r="E12" s="2" t="s">
        <v>0</v>
      </c>
      <c r="F12" s="2" t="s">
        <v>40</v>
      </c>
      <c r="G12" s="1" t="s">
        <v>1968</v>
      </c>
      <c r="H12" s="2">
        <v>1</v>
      </c>
      <c r="I12" s="2">
        <v>7</v>
      </c>
      <c r="J12" s="15">
        <v>33.08</v>
      </c>
      <c r="K12" s="40">
        <v>0</v>
      </c>
    </row>
    <row r="13" spans="1:11" x14ac:dyDescent="0.25">
      <c r="A13" s="1">
        <v>2285081</v>
      </c>
      <c r="B13" s="1" t="s">
        <v>46</v>
      </c>
      <c r="D13" s="2">
        <v>0</v>
      </c>
      <c r="E13" s="2" t="s">
        <v>0</v>
      </c>
      <c r="F13" s="2" t="s">
        <v>40</v>
      </c>
      <c r="G13" s="1" t="s">
        <v>1969</v>
      </c>
      <c r="H13" s="2">
        <v>1</v>
      </c>
      <c r="I13" s="2">
        <v>7</v>
      </c>
      <c r="J13" s="15">
        <v>33.17</v>
      </c>
      <c r="K13" s="40">
        <v>0</v>
      </c>
    </row>
    <row r="14" spans="1:11" x14ac:dyDescent="0.25">
      <c r="A14" s="1">
        <v>2285422</v>
      </c>
      <c r="B14" s="1" t="s">
        <v>47</v>
      </c>
      <c r="D14" s="2">
        <v>0</v>
      </c>
      <c r="E14" s="2" t="s">
        <v>0</v>
      </c>
      <c r="F14" s="2" t="s">
        <v>40</v>
      </c>
      <c r="G14" s="1" t="s">
        <v>1968</v>
      </c>
      <c r="H14" s="2">
        <v>1</v>
      </c>
      <c r="I14" s="2">
        <v>7</v>
      </c>
      <c r="J14" s="15">
        <v>74.64</v>
      </c>
      <c r="K14" s="40">
        <v>0</v>
      </c>
    </row>
    <row r="15" spans="1:11" x14ac:dyDescent="0.25">
      <c r="A15" s="1">
        <v>2285315</v>
      </c>
      <c r="B15" s="1" t="s">
        <v>48</v>
      </c>
      <c r="D15" s="2">
        <v>0</v>
      </c>
      <c r="E15" s="2" t="s">
        <v>0</v>
      </c>
      <c r="F15" s="2" t="s">
        <v>40</v>
      </c>
      <c r="G15" s="1" t="s">
        <v>1968</v>
      </c>
      <c r="H15" s="2">
        <v>1</v>
      </c>
      <c r="I15" s="2">
        <v>7</v>
      </c>
      <c r="J15" s="15">
        <v>101.05</v>
      </c>
      <c r="K15" s="40">
        <v>0</v>
      </c>
    </row>
    <row r="16" spans="1:11" x14ac:dyDescent="0.25">
      <c r="A16" s="1">
        <v>2285423</v>
      </c>
      <c r="B16" s="1" t="s">
        <v>49</v>
      </c>
      <c r="D16" s="2">
        <v>0</v>
      </c>
      <c r="E16" s="2" t="s">
        <v>0</v>
      </c>
      <c r="F16" s="2" t="s">
        <v>40</v>
      </c>
      <c r="G16" s="1" t="s">
        <v>1968</v>
      </c>
      <c r="H16" s="2">
        <v>1</v>
      </c>
      <c r="I16" s="2">
        <v>7</v>
      </c>
      <c r="J16" s="15">
        <v>101.63</v>
      </c>
      <c r="K16" s="40">
        <v>0</v>
      </c>
    </row>
    <row r="17" spans="1:11" x14ac:dyDescent="0.25">
      <c r="A17" s="1">
        <v>2245202</v>
      </c>
      <c r="B17" s="1" t="s">
        <v>50</v>
      </c>
      <c r="D17" s="2">
        <v>0</v>
      </c>
      <c r="E17" s="2" t="s">
        <v>0</v>
      </c>
      <c r="F17" s="2" t="s">
        <v>40</v>
      </c>
      <c r="G17" s="1" t="s">
        <v>1968</v>
      </c>
      <c r="H17" s="2">
        <v>1</v>
      </c>
      <c r="I17" s="2">
        <v>7</v>
      </c>
      <c r="J17" s="15">
        <v>94.28</v>
      </c>
      <c r="K17" s="40">
        <v>0</v>
      </c>
    </row>
    <row r="18" spans="1:11" x14ac:dyDescent="0.25">
      <c r="A18" s="1">
        <v>2245204</v>
      </c>
      <c r="B18" s="1" t="s">
        <v>51</v>
      </c>
      <c r="D18" s="2">
        <v>0</v>
      </c>
      <c r="E18" s="2" t="s">
        <v>0</v>
      </c>
      <c r="F18" s="2" t="s">
        <v>40</v>
      </c>
      <c r="G18" s="1" t="s">
        <v>1968</v>
      </c>
      <c r="H18" s="2">
        <v>1</v>
      </c>
      <c r="I18" s="2">
        <v>7</v>
      </c>
      <c r="J18" s="15">
        <v>45.67</v>
      </c>
      <c r="K18" s="40">
        <v>0</v>
      </c>
    </row>
    <row r="19" spans="1:11" x14ac:dyDescent="0.25">
      <c r="A19" s="1">
        <v>2245206</v>
      </c>
      <c r="B19" s="1" t="s">
        <v>52</v>
      </c>
      <c r="D19" s="2">
        <v>0</v>
      </c>
      <c r="E19" s="2" t="s">
        <v>0</v>
      </c>
      <c r="F19" s="2" t="s">
        <v>40</v>
      </c>
      <c r="G19" s="1" t="s">
        <v>1968</v>
      </c>
      <c r="H19" s="2">
        <v>1</v>
      </c>
      <c r="I19" s="2">
        <v>7</v>
      </c>
      <c r="J19" s="15">
        <v>60.48</v>
      </c>
      <c r="K19" s="40">
        <v>0</v>
      </c>
    </row>
    <row r="20" spans="1:11" x14ac:dyDescent="0.25">
      <c r="A20" s="1">
        <v>1727890</v>
      </c>
      <c r="B20" s="1" t="s">
        <v>53</v>
      </c>
      <c r="D20" s="2">
        <v>0</v>
      </c>
      <c r="E20" s="2" t="s">
        <v>54</v>
      </c>
      <c r="F20" s="2" t="s">
        <v>43</v>
      </c>
      <c r="G20" s="1" t="s">
        <v>1968</v>
      </c>
      <c r="H20" s="2">
        <v>1</v>
      </c>
      <c r="I20" s="2">
        <v>7</v>
      </c>
      <c r="J20" s="15">
        <v>20.14</v>
      </c>
      <c r="K20" s="40">
        <v>0</v>
      </c>
    </row>
    <row r="21" spans="1:11" x14ac:dyDescent="0.25">
      <c r="A21" s="1">
        <v>2962111</v>
      </c>
      <c r="B21" s="1" t="s">
        <v>7</v>
      </c>
      <c r="D21" s="2">
        <v>0</v>
      </c>
      <c r="E21" s="2" t="s">
        <v>0</v>
      </c>
      <c r="F21" s="2" t="s">
        <v>561</v>
      </c>
      <c r="G21" s="1" t="s">
        <v>2058</v>
      </c>
      <c r="H21" s="2">
        <v>1</v>
      </c>
      <c r="I21" s="2">
        <v>14</v>
      </c>
      <c r="J21" s="15">
        <v>51.7</v>
      </c>
      <c r="K21" s="40">
        <v>0</v>
      </c>
    </row>
    <row r="22" spans="1:11" x14ac:dyDescent="0.25">
      <c r="A22" s="1">
        <v>1013394</v>
      </c>
      <c r="B22" s="1" t="s">
        <v>55</v>
      </c>
      <c r="D22" s="2">
        <v>0</v>
      </c>
      <c r="E22" s="2" t="s">
        <v>56</v>
      </c>
      <c r="F22" s="2" t="s">
        <v>40</v>
      </c>
      <c r="G22" s="1" t="s">
        <v>1969</v>
      </c>
      <c r="H22" s="2">
        <v>1</v>
      </c>
      <c r="I22" s="2">
        <v>7</v>
      </c>
      <c r="J22" s="15">
        <v>13.33</v>
      </c>
      <c r="K22" s="40">
        <v>0</v>
      </c>
    </row>
    <row r="23" spans="1:11" x14ac:dyDescent="0.25">
      <c r="A23" s="1">
        <v>2214576</v>
      </c>
      <c r="B23" s="1" t="s">
        <v>57</v>
      </c>
      <c r="D23" s="2">
        <v>0</v>
      </c>
      <c r="E23" s="2" t="s">
        <v>0</v>
      </c>
      <c r="F23" s="2" t="s">
        <v>40</v>
      </c>
      <c r="G23" s="1" t="s">
        <v>1968</v>
      </c>
      <c r="H23" s="2">
        <v>1</v>
      </c>
      <c r="I23" s="2">
        <v>7</v>
      </c>
      <c r="J23" s="15">
        <v>5.66</v>
      </c>
      <c r="K23" s="40">
        <v>0</v>
      </c>
    </row>
    <row r="24" spans="1:11" x14ac:dyDescent="0.25">
      <c r="A24" s="1">
        <v>2214578</v>
      </c>
      <c r="B24" s="1" t="s">
        <v>58</v>
      </c>
      <c r="D24" s="2">
        <v>0</v>
      </c>
      <c r="E24" s="2" t="s">
        <v>0</v>
      </c>
      <c r="F24" s="2" t="s">
        <v>40</v>
      </c>
      <c r="G24" s="1" t="s">
        <v>1968</v>
      </c>
      <c r="H24" s="2">
        <v>1</v>
      </c>
      <c r="I24" s="2">
        <v>7</v>
      </c>
      <c r="J24" s="15">
        <v>5.78</v>
      </c>
      <c r="K24" s="40">
        <v>0</v>
      </c>
    </row>
    <row r="25" spans="1:11" x14ac:dyDescent="0.25">
      <c r="A25" s="1">
        <v>2214579</v>
      </c>
      <c r="B25" s="1" t="s">
        <v>59</v>
      </c>
      <c r="D25" s="2">
        <v>0</v>
      </c>
      <c r="E25" s="2" t="s">
        <v>0</v>
      </c>
      <c r="F25" s="2" t="s">
        <v>40</v>
      </c>
      <c r="G25" s="1" t="s">
        <v>1968</v>
      </c>
      <c r="H25" s="2">
        <v>1</v>
      </c>
      <c r="I25" s="2">
        <v>7</v>
      </c>
      <c r="J25" s="15">
        <v>4.5</v>
      </c>
      <c r="K25" s="40">
        <v>0</v>
      </c>
    </row>
    <row r="26" spans="1:11" x14ac:dyDescent="0.25">
      <c r="A26" s="1">
        <v>2214580</v>
      </c>
      <c r="B26" s="1" t="s">
        <v>60</v>
      </c>
      <c r="D26" s="2">
        <v>0</v>
      </c>
      <c r="E26" s="2" t="s">
        <v>0</v>
      </c>
      <c r="F26" s="2" t="s">
        <v>40</v>
      </c>
      <c r="G26" s="1" t="s">
        <v>1968</v>
      </c>
      <c r="H26" s="2">
        <v>1</v>
      </c>
      <c r="I26" s="2">
        <v>7</v>
      </c>
      <c r="J26" s="15">
        <v>6.26</v>
      </c>
      <c r="K26" s="40">
        <v>0</v>
      </c>
    </row>
    <row r="27" spans="1:11" x14ac:dyDescent="0.25">
      <c r="A27" s="1">
        <v>2215006</v>
      </c>
      <c r="B27" s="1" t="s">
        <v>61</v>
      </c>
      <c r="D27" s="2">
        <v>0</v>
      </c>
      <c r="E27" s="2" t="s">
        <v>0</v>
      </c>
      <c r="F27" s="2" t="s">
        <v>40</v>
      </c>
      <c r="G27" s="1" t="s">
        <v>1968</v>
      </c>
      <c r="H27" s="2">
        <v>1</v>
      </c>
      <c r="I27" s="2">
        <v>7</v>
      </c>
      <c r="J27" s="15">
        <v>21.03</v>
      </c>
      <c r="K27" s="40">
        <v>0</v>
      </c>
    </row>
    <row r="28" spans="1:11" x14ac:dyDescent="0.25">
      <c r="A28" s="1">
        <v>2215003</v>
      </c>
      <c r="B28" s="1" t="s">
        <v>62</v>
      </c>
      <c r="D28" s="2">
        <v>0</v>
      </c>
      <c r="E28" s="2" t="s">
        <v>0</v>
      </c>
      <c r="F28" s="2" t="s">
        <v>40</v>
      </c>
      <c r="G28" s="1" t="s">
        <v>1968</v>
      </c>
      <c r="H28" s="2">
        <v>1</v>
      </c>
      <c r="I28" s="2">
        <v>7</v>
      </c>
      <c r="J28" s="15">
        <v>24.78</v>
      </c>
      <c r="K28" s="40">
        <v>0</v>
      </c>
    </row>
    <row r="29" spans="1:11" x14ac:dyDescent="0.25">
      <c r="A29" s="1">
        <v>1233569</v>
      </c>
      <c r="B29" s="1" t="s">
        <v>63</v>
      </c>
      <c r="D29" s="2">
        <v>0</v>
      </c>
      <c r="E29" s="2" t="s">
        <v>56</v>
      </c>
      <c r="F29" s="2" t="s">
        <v>40</v>
      </c>
      <c r="G29" s="1" t="s">
        <v>1968</v>
      </c>
      <c r="H29" s="2">
        <v>1</v>
      </c>
      <c r="I29" s="2">
        <v>7</v>
      </c>
      <c r="J29" s="15">
        <v>27.41</v>
      </c>
      <c r="K29" s="40">
        <v>0</v>
      </c>
    </row>
    <row r="30" spans="1:11" x14ac:dyDescent="0.25">
      <c r="A30" s="1">
        <v>2214265</v>
      </c>
      <c r="B30" s="1" t="s">
        <v>64</v>
      </c>
      <c r="D30" s="2">
        <v>0</v>
      </c>
      <c r="E30" s="2" t="s">
        <v>0</v>
      </c>
      <c r="F30" s="2" t="s">
        <v>40</v>
      </c>
      <c r="G30" s="1" t="s">
        <v>1968</v>
      </c>
      <c r="H30" s="2">
        <v>1</v>
      </c>
      <c r="I30" s="2">
        <v>7</v>
      </c>
      <c r="J30" s="15">
        <v>3.33</v>
      </c>
      <c r="K30" s="40">
        <v>0</v>
      </c>
    </row>
    <row r="31" spans="1:11" x14ac:dyDescent="0.25">
      <c r="A31" s="1">
        <v>2214376</v>
      </c>
      <c r="B31" s="1" t="s">
        <v>65</v>
      </c>
      <c r="D31" s="2">
        <v>0</v>
      </c>
      <c r="E31" s="2" t="s">
        <v>0</v>
      </c>
      <c r="F31" s="2" t="s">
        <v>40</v>
      </c>
      <c r="G31" s="1" t="s">
        <v>1968</v>
      </c>
      <c r="H31" s="2">
        <v>1</v>
      </c>
      <c r="I31" s="2">
        <v>7</v>
      </c>
      <c r="J31" s="15">
        <v>4.32</v>
      </c>
      <c r="K31" s="40">
        <v>0</v>
      </c>
    </row>
    <row r="32" spans="1:11" x14ac:dyDescent="0.25">
      <c r="A32" s="1">
        <v>2214378</v>
      </c>
      <c r="B32" s="1" t="s">
        <v>66</v>
      </c>
      <c r="D32" s="2">
        <v>0</v>
      </c>
      <c r="E32" s="2" t="s">
        <v>0</v>
      </c>
      <c r="F32" s="2" t="s">
        <v>40</v>
      </c>
      <c r="G32" s="1" t="s">
        <v>1968</v>
      </c>
      <c r="H32" s="2">
        <v>1</v>
      </c>
      <c r="I32" s="2">
        <v>7</v>
      </c>
      <c r="J32" s="15">
        <v>5.0999999999999996</v>
      </c>
      <c r="K32" s="40">
        <v>0</v>
      </c>
    </row>
    <row r="33" spans="1:11" x14ac:dyDescent="0.25">
      <c r="A33" s="1">
        <v>2214379</v>
      </c>
      <c r="B33" s="1" t="s">
        <v>67</v>
      </c>
      <c r="D33" s="2">
        <v>0</v>
      </c>
      <c r="E33" s="2" t="s">
        <v>0</v>
      </c>
      <c r="F33" s="2" t="s">
        <v>40</v>
      </c>
      <c r="G33" s="1" t="s">
        <v>1968</v>
      </c>
      <c r="H33" s="2">
        <v>1</v>
      </c>
      <c r="I33" s="2">
        <v>7</v>
      </c>
      <c r="J33" s="15">
        <v>5.96</v>
      </c>
      <c r="K33" s="40">
        <v>0</v>
      </c>
    </row>
    <row r="34" spans="1:11" x14ac:dyDescent="0.25">
      <c r="A34" s="1">
        <v>2214380</v>
      </c>
      <c r="B34" s="1" t="s">
        <v>68</v>
      </c>
      <c r="D34" s="2">
        <v>0</v>
      </c>
      <c r="E34" s="2" t="s">
        <v>0</v>
      </c>
      <c r="F34" s="2" t="s">
        <v>40</v>
      </c>
      <c r="G34" s="1" t="s">
        <v>1968</v>
      </c>
      <c r="H34" s="2">
        <v>1</v>
      </c>
      <c r="I34" s="2">
        <v>7</v>
      </c>
      <c r="J34" s="15">
        <v>6.69</v>
      </c>
      <c r="K34" s="40">
        <v>0</v>
      </c>
    </row>
    <row r="35" spans="1:11" x14ac:dyDescent="0.25">
      <c r="A35" s="1">
        <v>2214261</v>
      </c>
      <c r="B35" s="1" t="s">
        <v>69</v>
      </c>
      <c r="D35" s="2">
        <v>0</v>
      </c>
      <c r="E35" s="2" t="s">
        <v>0</v>
      </c>
      <c r="F35" s="2" t="s">
        <v>40</v>
      </c>
      <c r="G35" s="1" t="s">
        <v>1968</v>
      </c>
      <c r="H35" s="2">
        <v>1</v>
      </c>
      <c r="I35" s="2">
        <v>7</v>
      </c>
      <c r="J35" s="15">
        <v>7.39</v>
      </c>
      <c r="K35" s="40">
        <v>0</v>
      </c>
    </row>
    <row r="36" spans="1:11" x14ac:dyDescent="0.25">
      <c r="A36" s="1">
        <v>2214260</v>
      </c>
      <c r="B36" s="1" t="s">
        <v>70</v>
      </c>
      <c r="D36" s="2">
        <v>0</v>
      </c>
      <c r="E36" s="2" t="s">
        <v>0</v>
      </c>
      <c r="F36" s="2" t="s">
        <v>40</v>
      </c>
      <c r="G36" s="1" t="s">
        <v>1968</v>
      </c>
      <c r="H36" s="2">
        <v>1</v>
      </c>
      <c r="I36" s="2">
        <v>7</v>
      </c>
      <c r="J36" s="15">
        <v>8.94</v>
      </c>
      <c r="K36" s="40">
        <v>0</v>
      </c>
    </row>
    <row r="37" spans="1:11" x14ac:dyDescent="0.25">
      <c r="A37" s="1">
        <v>2214374</v>
      </c>
      <c r="B37" s="1" t="s">
        <v>71</v>
      </c>
      <c r="D37" s="2">
        <v>0</v>
      </c>
      <c r="E37" s="2" t="s">
        <v>0</v>
      </c>
      <c r="F37" s="2" t="s">
        <v>40</v>
      </c>
      <c r="G37" s="1" t="s">
        <v>1968</v>
      </c>
      <c r="H37" s="2">
        <v>1</v>
      </c>
      <c r="I37" s="2">
        <v>7</v>
      </c>
      <c r="J37" s="15">
        <v>4.4800000000000004</v>
      </c>
      <c r="K37" s="40">
        <v>0</v>
      </c>
    </row>
    <row r="38" spans="1:11" x14ac:dyDescent="0.25">
      <c r="A38" s="1">
        <v>2214272</v>
      </c>
      <c r="B38" s="1" t="s">
        <v>72</v>
      </c>
      <c r="D38" s="2">
        <v>0</v>
      </c>
      <c r="E38" s="2" t="s">
        <v>0</v>
      </c>
      <c r="F38" s="2" t="s">
        <v>40</v>
      </c>
      <c r="G38" s="1" t="s">
        <v>1968</v>
      </c>
      <c r="H38" s="2">
        <v>1</v>
      </c>
      <c r="I38" s="2">
        <v>7</v>
      </c>
      <c r="J38" s="15">
        <v>1.85</v>
      </c>
      <c r="K38" s="40">
        <v>0</v>
      </c>
    </row>
    <row r="39" spans="1:11" x14ac:dyDescent="0.25">
      <c r="A39" s="1">
        <v>2214274</v>
      </c>
      <c r="B39" s="1" t="s">
        <v>73</v>
      </c>
      <c r="D39" s="2">
        <v>0</v>
      </c>
      <c r="E39" s="2" t="s">
        <v>0</v>
      </c>
      <c r="F39" s="2" t="s">
        <v>40</v>
      </c>
      <c r="G39" s="1" t="s">
        <v>1968</v>
      </c>
      <c r="H39" s="2">
        <v>1</v>
      </c>
      <c r="I39" s="2">
        <v>7</v>
      </c>
      <c r="J39" s="15">
        <v>2.08</v>
      </c>
      <c r="K39" s="40">
        <v>0</v>
      </c>
    </row>
    <row r="40" spans="1:11" x14ac:dyDescent="0.25">
      <c r="A40" s="1">
        <v>2214276</v>
      </c>
      <c r="B40" s="1" t="s">
        <v>74</v>
      </c>
      <c r="D40" s="2">
        <v>0</v>
      </c>
      <c r="E40" s="2" t="s">
        <v>0</v>
      </c>
      <c r="F40" s="2" t="s">
        <v>40</v>
      </c>
      <c r="G40" s="1" t="s">
        <v>1968</v>
      </c>
      <c r="H40" s="2">
        <v>1</v>
      </c>
      <c r="I40" s="2">
        <v>7</v>
      </c>
      <c r="J40" s="15">
        <v>2.33</v>
      </c>
      <c r="K40" s="40">
        <v>0</v>
      </c>
    </row>
    <row r="41" spans="1:11" x14ac:dyDescent="0.25">
      <c r="A41" s="1">
        <v>2214278</v>
      </c>
      <c r="B41" s="1" t="s">
        <v>75</v>
      </c>
      <c r="D41" s="2">
        <v>0</v>
      </c>
      <c r="E41" s="2" t="s">
        <v>0</v>
      </c>
      <c r="F41" s="2" t="s">
        <v>40</v>
      </c>
      <c r="G41" s="1" t="s">
        <v>1968</v>
      </c>
      <c r="H41" s="2">
        <v>1</v>
      </c>
      <c r="I41" s="2">
        <v>7</v>
      </c>
      <c r="J41" s="15">
        <v>2.67</v>
      </c>
      <c r="K41" s="40">
        <v>0</v>
      </c>
    </row>
    <row r="42" spans="1:11" x14ac:dyDescent="0.25">
      <c r="A42" s="1">
        <v>2214279</v>
      </c>
      <c r="B42" s="1" t="s">
        <v>76</v>
      </c>
      <c r="D42" s="2">
        <v>0</v>
      </c>
      <c r="E42" s="2" t="s">
        <v>0</v>
      </c>
      <c r="F42" s="2" t="s">
        <v>40</v>
      </c>
      <c r="G42" s="1" t="s">
        <v>1968</v>
      </c>
      <c r="H42" s="2">
        <v>1</v>
      </c>
      <c r="I42" s="2">
        <v>7</v>
      </c>
      <c r="J42" s="15">
        <v>3.31</v>
      </c>
      <c r="K42" s="40">
        <v>0</v>
      </c>
    </row>
    <row r="43" spans="1:11" x14ac:dyDescent="0.25">
      <c r="A43" s="1">
        <v>2214280</v>
      </c>
      <c r="B43" s="1" t="s">
        <v>77</v>
      </c>
      <c r="D43" s="2">
        <v>0</v>
      </c>
      <c r="E43" s="2" t="s">
        <v>0</v>
      </c>
      <c r="F43" s="2" t="s">
        <v>40</v>
      </c>
      <c r="G43" s="1" t="s">
        <v>1968</v>
      </c>
      <c r="H43" s="2">
        <v>1</v>
      </c>
      <c r="I43" s="2">
        <v>7</v>
      </c>
      <c r="J43" s="15">
        <v>4.8099999999999996</v>
      </c>
      <c r="K43" s="40">
        <v>0</v>
      </c>
    </row>
    <row r="44" spans="1:11" x14ac:dyDescent="0.25">
      <c r="A44" s="1">
        <v>2214282</v>
      </c>
      <c r="B44" s="1" t="s">
        <v>78</v>
      </c>
      <c r="D44" s="2">
        <v>0</v>
      </c>
      <c r="E44" s="2" t="s">
        <v>0</v>
      </c>
      <c r="F44" s="2" t="s">
        <v>40</v>
      </c>
      <c r="G44" s="1" t="s">
        <v>1968</v>
      </c>
      <c r="H44" s="2">
        <v>1</v>
      </c>
      <c r="I44" s="2">
        <v>7</v>
      </c>
      <c r="J44" s="15">
        <v>6.45</v>
      </c>
      <c r="K44" s="40">
        <v>0</v>
      </c>
    </row>
    <row r="45" spans="1:11" x14ac:dyDescent="0.25">
      <c r="A45" s="1">
        <v>2214264</v>
      </c>
      <c r="B45" s="1" t="s">
        <v>79</v>
      </c>
      <c r="D45" s="2">
        <v>0</v>
      </c>
      <c r="E45" s="2" t="s">
        <v>0</v>
      </c>
      <c r="F45" s="2" t="s">
        <v>40</v>
      </c>
      <c r="G45" s="1" t="s">
        <v>1968</v>
      </c>
      <c r="H45" s="2">
        <v>1</v>
      </c>
      <c r="I45" s="2">
        <v>7</v>
      </c>
      <c r="J45" s="15">
        <v>1.76</v>
      </c>
      <c r="K45" s="40">
        <v>0</v>
      </c>
    </row>
    <row r="46" spans="1:11" x14ac:dyDescent="0.25">
      <c r="A46" s="1">
        <v>2214268</v>
      </c>
      <c r="B46" s="1" t="s">
        <v>80</v>
      </c>
      <c r="D46" s="2">
        <v>0</v>
      </c>
      <c r="E46" s="2" t="s">
        <v>0</v>
      </c>
      <c r="F46" s="2" t="s">
        <v>40</v>
      </c>
      <c r="G46" s="1" t="s">
        <v>1968</v>
      </c>
      <c r="H46" s="2">
        <v>1</v>
      </c>
      <c r="I46" s="2">
        <v>7</v>
      </c>
      <c r="J46" s="15">
        <v>2.44</v>
      </c>
      <c r="K46" s="40">
        <v>0</v>
      </c>
    </row>
    <row r="47" spans="1:11" x14ac:dyDescent="0.25">
      <c r="A47" s="1">
        <v>2982047</v>
      </c>
      <c r="B47" s="1" t="s">
        <v>81</v>
      </c>
      <c r="D47" s="2">
        <v>0</v>
      </c>
      <c r="E47" s="2" t="s">
        <v>131</v>
      </c>
      <c r="F47" s="2" t="s">
        <v>42</v>
      </c>
      <c r="G47" s="1" t="s">
        <v>1968</v>
      </c>
      <c r="H47" s="2">
        <v>1</v>
      </c>
      <c r="I47" s="2">
        <v>7</v>
      </c>
      <c r="J47" s="15">
        <v>104.9</v>
      </c>
      <c r="K47" s="40">
        <v>0</v>
      </c>
    </row>
    <row r="48" spans="1:11" x14ac:dyDescent="0.25">
      <c r="A48" s="1">
        <v>2243862</v>
      </c>
      <c r="B48" s="1" t="s">
        <v>82</v>
      </c>
      <c r="D48" s="2">
        <v>0</v>
      </c>
      <c r="E48" s="2" t="s">
        <v>0</v>
      </c>
      <c r="F48" s="2" t="s">
        <v>42</v>
      </c>
      <c r="G48" s="1" t="s">
        <v>1968</v>
      </c>
      <c r="H48" s="2">
        <v>1</v>
      </c>
      <c r="I48" s="2">
        <v>7</v>
      </c>
      <c r="J48" s="15">
        <v>1.44</v>
      </c>
      <c r="K48" s="40">
        <v>0</v>
      </c>
    </row>
    <row r="49" spans="1:11" x14ac:dyDescent="0.25">
      <c r="A49" s="1">
        <v>2269829</v>
      </c>
      <c r="B49" s="1" t="s">
        <v>83</v>
      </c>
      <c r="D49" s="2">
        <v>0</v>
      </c>
      <c r="E49" s="2" t="s">
        <v>0</v>
      </c>
      <c r="F49" s="2" t="s">
        <v>42</v>
      </c>
      <c r="G49" s="1" t="s">
        <v>1968</v>
      </c>
      <c r="H49" s="2">
        <v>1</v>
      </c>
      <c r="I49" s="2">
        <v>7</v>
      </c>
      <c r="J49" s="15">
        <v>52.37</v>
      </c>
      <c r="K49" s="40">
        <v>0</v>
      </c>
    </row>
    <row r="50" spans="1:11" x14ac:dyDescent="0.25">
      <c r="A50" s="1">
        <v>1570384</v>
      </c>
      <c r="B50" s="1" t="s">
        <v>84</v>
      </c>
      <c r="D50" s="2">
        <v>0</v>
      </c>
      <c r="E50" s="2" t="s">
        <v>85</v>
      </c>
      <c r="F50" s="2" t="s">
        <v>561</v>
      </c>
      <c r="G50" s="1" t="s">
        <v>786</v>
      </c>
      <c r="H50" s="2">
        <v>1</v>
      </c>
      <c r="I50" s="2">
        <v>7</v>
      </c>
      <c r="K50" s="40">
        <v>0</v>
      </c>
    </row>
    <row r="51" spans="1:11" x14ac:dyDescent="0.25">
      <c r="A51" s="1">
        <v>1570385</v>
      </c>
      <c r="B51" s="1" t="s">
        <v>86</v>
      </c>
      <c r="D51" s="2">
        <v>0</v>
      </c>
      <c r="E51" s="2" t="s">
        <v>0</v>
      </c>
      <c r="F51" s="2" t="s">
        <v>561</v>
      </c>
      <c r="G51" s="1" t="s">
        <v>786</v>
      </c>
      <c r="H51" s="2">
        <v>1</v>
      </c>
      <c r="I51" s="2">
        <v>7</v>
      </c>
      <c r="K51" s="40">
        <v>0</v>
      </c>
    </row>
    <row r="52" spans="1:11" x14ac:dyDescent="0.25">
      <c r="A52" s="1">
        <v>1570383</v>
      </c>
      <c r="B52" s="1" t="s">
        <v>87</v>
      </c>
      <c r="D52" s="2">
        <v>0</v>
      </c>
      <c r="E52" s="2" t="s">
        <v>0</v>
      </c>
      <c r="F52" s="2" t="s">
        <v>561</v>
      </c>
      <c r="G52" s="1" t="s">
        <v>1968</v>
      </c>
      <c r="H52" s="2">
        <v>1</v>
      </c>
      <c r="I52" s="2">
        <v>7</v>
      </c>
      <c r="J52" s="15">
        <v>83</v>
      </c>
      <c r="K52" s="40">
        <v>0</v>
      </c>
    </row>
    <row r="53" spans="1:11" x14ac:dyDescent="0.25">
      <c r="A53" s="1">
        <v>2962112</v>
      </c>
      <c r="B53" s="1" t="s">
        <v>8</v>
      </c>
      <c r="D53" s="2">
        <v>0</v>
      </c>
      <c r="E53" s="2" t="s">
        <v>0</v>
      </c>
      <c r="F53" s="2" t="s">
        <v>561</v>
      </c>
      <c r="G53" s="1" t="s">
        <v>2058</v>
      </c>
      <c r="H53" s="2">
        <v>1</v>
      </c>
      <c r="I53" s="2">
        <v>7</v>
      </c>
      <c r="J53" s="15">
        <v>57.79</v>
      </c>
      <c r="K53" s="40">
        <v>0</v>
      </c>
    </row>
    <row r="54" spans="1:11" x14ac:dyDescent="0.25">
      <c r="A54" s="1">
        <v>2962110</v>
      </c>
      <c r="B54" s="1" t="s">
        <v>6</v>
      </c>
      <c r="D54" s="2">
        <v>0</v>
      </c>
      <c r="E54" s="2" t="s">
        <v>0</v>
      </c>
      <c r="F54" s="2" t="s">
        <v>561</v>
      </c>
      <c r="G54" s="1" t="s">
        <v>2058</v>
      </c>
      <c r="H54" s="2">
        <v>1</v>
      </c>
      <c r="I54" s="2">
        <v>7</v>
      </c>
      <c r="J54" s="15">
        <v>376.74</v>
      </c>
      <c r="K54" s="40">
        <v>0</v>
      </c>
    </row>
    <row r="55" spans="1:11" x14ac:dyDescent="0.25">
      <c r="A55" s="1">
        <v>1082378</v>
      </c>
      <c r="B55" s="1" t="s">
        <v>539</v>
      </c>
      <c r="D55" s="2">
        <v>0</v>
      </c>
      <c r="E55" s="2" t="s">
        <v>0</v>
      </c>
      <c r="F55" s="2" t="s">
        <v>561</v>
      </c>
      <c r="G55" s="1" t="s">
        <v>1968</v>
      </c>
      <c r="H55" s="2">
        <v>1</v>
      </c>
      <c r="I55" s="2">
        <v>7</v>
      </c>
      <c r="J55" s="15">
        <v>586.07000000000005</v>
      </c>
      <c r="K55" s="40">
        <v>0</v>
      </c>
    </row>
    <row r="56" spans="1:11" x14ac:dyDescent="0.25">
      <c r="A56" s="1">
        <v>1199293</v>
      </c>
      <c r="B56" s="1" t="s">
        <v>88</v>
      </c>
      <c r="D56" s="2">
        <v>0</v>
      </c>
      <c r="E56" s="2" t="s">
        <v>0</v>
      </c>
      <c r="F56" s="2" t="s">
        <v>561</v>
      </c>
      <c r="G56" s="1" t="s">
        <v>1968</v>
      </c>
      <c r="H56" s="2">
        <v>1</v>
      </c>
      <c r="I56" s="2">
        <v>7</v>
      </c>
      <c r="J56" s="15">
        <v>612.01</v>
      </c>
      <c r="K56" s="40">
        <v>0</v>
      </c>
    </row>
    <row r="57" spans="1:11" x14ac:dyDescent="0.25">
      <c r="A57" s="1">
        <v>2962730</v>
      </c>
      <c r="B57" s="1" t="s">
        <v>4</v>
      </c>
      <c r="D57" s="2">
        <v>0</v>
      </c>
      <c r="E57" s="2" t="s">
        <v>0</v>
      </c>
      <c r="F57" s="2" t="s">
        <v>561</v>
      </c>
      <c r="G57" s="1" t="s">
        <v>1968</v>
      </c>
      <c r="H57" s="2">
        <v>1</v>
      </c>
      <c r="I57" s="2">
        <v>7</v>
      </c>
      <c r="J57" s="15">
        <v>1575.44</v>
      </c>
      <c r="K57" s="40">
        <v>0</v>
      </c>
    </row>
    <row r="58" spans="1:11" x14ac:dyDescent="0.25">
      <c r="A58" s="1">
        <v>2962731</v>
      </c>
      <c r="B58" s="1" t="s">
        <v>5</v>
      </c>
      <c r="D58" s="2">
        <v>0</v>
      </c>
      <c r="E58" s="2" t="s">
        <v>0</v>
      </c>
      <c r="F58" s="2" t="s">
        <v>561</v>
      </c>
      <c r="G58" s="1" t="s">
        <v>1968</v>
      </c>
      <c r="H58" s="2">
        <v>1</v>
      </c>
      <c r="I58" s="2">
        <v>7</v>
      </c>
      <c r="J58" s="15">
        <v>1596.22</v>
      </c>
      <c r="K58" s="40">
        <v>0</v>
      </c>
    </row>
    <row r="59" spans="1:11" x14ac:dyDescent="0.25">
      <c r="A59" s="1">
        <v>2244607</v>
      </c>
      <c r="B59" s="1" t="s">
        <v>89</v>
      </c>
      <c r="D59" s="2">
        <v>0</v>
      </c>
      <c r="E59" s="2" t="s">
        <v>0</v>
      </c>
      <c r="F59" s="2" t="s">
        <v>40</v>
      </c>
      <c r="G59" s="1" t="s">
        <v>1968</v>
      </c>
      <c r="H59" s="2">
        <v>1</v>
      </c>
      <c r="I59" s="2">
        <v>7</v>
      </c>
      <c r="J59" s="15">
        <v>86.01</v>
      </c>
      <c r="K59" s="40">
        <v>0</v>
      </c>
    </row>
    <row r="60" spans="1:11" x14ac:dyDescent="0.25">
      <c r="A60" s="1">
        <v>2244230</v>
      </c>
      <c r="B60" s="1" t="s">
        <v>90</v>
      </c>
      <c r="D60" s="2">
        <v>0</v>
      </c>
      <c r="E60" s="2" t="s">
        <v>0</v>
      </c>
      <c r="F60" s="2" t="s">
        <v>40</v>
      </c>
      <c r="G60" s="1" t="s">
        <v>1968</v>
      </c>
      <c r="H60" s="2">
        <v>1</v>
      </c>
      <c r="I60" s="2">
        <v>21</v>
      </c>
      <c r="J60" s="15">
        <v>20.76</v>
      </c>
      <c r="K60" s="40">
        <v>0</v>
      </c>
    </row>
    <row r="61" spans="1:11" x14ac:dyDescent="0.25">
      <c r="A61" s="1">
        <v>2081686</v>
      </c>
      <c r="B61" s="1" t="s">
        <v>91</v>
      </c>
      <c r="D61" s="2">
        <v>0</v>
      </c>
      <c r="E61" s="2" t="s">
        <v>0</v>
      </c>
      <c r="F61" s="2" t="s">
        <v>40</v>
      </c>
      <c r="G61" s="1" t="s">
        <v>786</v>
      </c>
      <c r="H61" s="2">
        <v>1</v>
      </c>
      <c r="I61" s="2">
        <v>7</v>
      </c>
      <c r="K61" s="40">
        <v>0</v>
      </c>
    </row>
    <row r="62" spans="1:11" x14ac:dyDescent="0.25">
      <c r="A62" s="1">
        <v>2244936</v>
      </c>
      <c r="B62" s="1" t="s">
        <v>92</v>
      </c>
      <c r="D62" s="2">
        <v>0</v>
      </c>
      <c r="E62" s="2" t="s">
        <v>0</v>
      </c>
      <c r="F62" s="2" t="s">
        <v>40</v>
      </c>
      <c r="G62" s="1" t="s">
        <v>1968</v>
      </c>
      <c r="H62" s="2">
        <v>1</v>
      </c>
      <c r="I62" s="2">
        <v>7</v>
      </c>
      <c r="J62" s="15">
        <v>81.88</v>
      </c>
      <c r="K62" s="40">
        <v>0</v>
      </c>
    </row>
    <row r="63" spans="1:11" x14ac:dyDescent="0.25">
      <c r="A63" s="1">
        <v>1011396</v>
      </c>
      <c r="B63" s="1" t="s">
        <v>93</v>
      </c>
      <c r="D63" s="2">
        <v>0</v>
      </c>
      <c r="E63" s="2" t="s">
        <v>0</v>
      </c>
      <c r="F63" s="2" t="s">
        <v>40</v>
      </c>
      <c r="G63" s="1" t="s">
        <v>1968</v>
      </c>
      <c r="H63" s="2">
        <v>1</v>
      </c>
      <c r="I63" s="2">
        <v>7</v>
      </c>
      <c r="J63" s="15">
        <v>2.09</v>
      </c>
      <c r="K63" s="40">
        <v>0</v>
      </c>
    </row>
    <row r="64" spans="1:11" x14ac:dyDescent="0.25">
      <c r="A64" s="1">
        <v>2081687</v>
      </c>
      <c r="B64" s="1" t="s">
        <v>94</v>
      </c>
      <c r="D64" s="2">
        <v>0</v>
      </c>
      <c r="E64" s="2" t="s">
        <v>0</v>
      </c>
      <c r="F64" s="2" t="s">
        <v>40</v>
      </c>
      <c r="G64" s="1" t="s">
        <v>786</v>
      </c>
      <c r="H64" s="2">
        <v>1</v>
      </c>
      <c r="I64" s="2">
        <v>7</v>
      </c>
      <c r="K64" s="40">
        <v>0</v>
      </c>
    </row>
    <row r="65" spans="1:11" x14ac:dyDescent="0.25">
      <c r="A65" s="1">
        <v>2081688</v>
      </c>
      <c r="B65" s="1" t="s">
        <v>95</v>
      </c>
      <c r="D65" s="2">
        <v>0</v>
      </c>
      <c r="E65" s="2" t="s">
        <v>0</v>
      </c>
      <c r="F65" s="2" t="s">
        <v>40</v>
      </c>
      <c r="G65" s="1" t="s">
        <v>786</v>
      </c>
      <c r="H65" s="2">
        <v>1</v>
      </c>
      <c r="I65" s="2">
        <v>7</v>
      </c>
      <c r="K65" s="40">
        <v>0</v>
      </c>
    </row>
    <row r="66" spans="1:11" x14ac:dyDescent="0.25">
      <c r="A66" s="1">
        <v>1929277</v>
      </c>
      <c r="B66" s="1" t="s">
        <v>28</v>
      </c>
      <c r="D66" s="2">
        <v>0</v>
      </c>
      <c r="E66" s="2" t="s">
        <v>0</v>
      </c>
      <c r="F66" s="2" t="s">
        <v>41</v>
      </c>
      <c r="G66" s="1" t="s">
        <v>786</v>
      </c>
      <c r="H66" s="2">
        <v>1</v>
      </c>
      <c r="I66" s="2">
        <v>49</v>
      </c>
      <c r="K66" s="40">
        <v>0</v>
      </c>
    </row>
    <row r="67" spans="1:11" x14ac:dyDescent="0.25">
      <c r="A67" s="1">
        <v>1929280</v>
      </c>
      <c r="B67" s="1" t="s">
        <v>31</v>
      </c>
      <c r="D67" s="2">
        <v>0</v>
      </c>
      <c r="E67" s="2" t="s">
        <v>0</v>
      </c>
      <c r="F67" s="2" t="s">
        <v>41</v>
      </c>
      <c r="G67" s="1" t="s">
        <v>786</v>
      </c>
      <c r="H67" s="2">
        <v>1</v>
      </c>
      <c r="I67" s="2">
        <v>49</v>
      </c>
      <c r="K67" s="40">
        <v>0</v>
      </c>
    </row>
    <row r="68" spans="1:11" x14ac:dyDescent="0.25">
      <c r="A68" s="1">
        <v>1929278</v>
      </c>
      <c r="B68" s="1" t="s">
        <v>29</v>
      </c>
      <c r="D68" s="2">
        <v>0</v>
      </c>
      <c r="E68" s="2" t="s">
        <v>0</v>
      </c>
      <c r="F68" s="2" t="s">
        <v>41</v>
      </c>
      <c r="G68" s="1" t="s">
        <v>786</v>
      </c>
      <c r="H68" s="2">
        <v>1</v>
      </c>
      <c r="I68" s="2">
        <v>49</v>
      </c>
      <c r="K68" s="40">
        <v>0</v>
      </c>
    </row>
    <row r="69" spans="1:11" x14ac:dyDescent="0.25">
      <c r="A69" s="1">
        <v>1929279</v>
      </c>
      <c r="B69" s="1" t="s">
        <v>30</v>
      </c>
      <c r="D69" s="2">
        <v>0</v>
      </c>
      <c r="E69" s="2" t="s">
        <v>0</v>
      </c>
      <c r="F69" s="2" t="s">
        <v>41</v>
      </c>
      <c r="G69" s="1" t="s">
        <v>1970</v>
      </c>
      <c r="H69" s="2">
        <v>1</v>
      </c>
      <c r="I69" s="2">
        <v>49</v>
      </c>
      <c r="K69" s="40">
        <v>0</v>
      </c>
    </row>
    <row r="70" spans="1:11" x14ac:dyDescent="0.25">
      <c r="A70" s="1">
        <v>1929283</v>
      </c>
      <c r="B70" s="1" t="s">
        <v>34</v>
      </c>
      <c r="D70" s="2">
        <v>0</v>
      </c>
      <c r="E70" s="2" t="s">
        <v>0</v>
      </c>
      <c r="F70" s="2" t="s">
        <v>41</v>
      </c>
      <c r="G70" s="1" t="s">
        <v>786</v>
      </c>
      <c r="H70" s="2">
        <v>1</v>
      </c>
      <c r="I70" s="2">
        <v>49</v>
      </c>
      <c r="K70" s="40">
        <v>0</v>
      </c>
    </row>
    <row r="71" spans="1:11" x14ac:dyDescent="0.25">
      <c r="A71" s="1">
        <v>1929281</v>
      </c>
      <c r="B71" s="1" t="s">
        <v>32</v>
      </c>
      <c r="D71" s="2">
        <v>0</v>
      </c>
      <c r="E71" s="2" t="s">
        <v>0</v>
      </c>
      <c r="F71" s="2" t="s">
        <v>41</v>
      </c>
      <c r="G71" s="1" t="s">
        <v>786</v>
      </c>
      <c r="H71" s="2">
        <v>1</v>
      </c>
      <c r="I71" s="2">
        <v>49</v>
      </c>
      <c r="K71" s="40">
        <v>0</v>
      </c>
    </row>
    <row r="72" spans="1:11" x14ac:dyDescent="0.25">
      <c r="A72" s="1">
        <v>1929282</v>
      </c>
      <c r="B72" s="1" t="s">
        <v>33</v>
      </c>
      <c r="D72" s="2">
        <v>0</v>
      </c>
      <c r="E72" s="2" t="s">
        <v>0</v>
      </c>
      <c r="F72" s="2" t="s">
        <v>41</v>
      </c>
      <c r="G72" s="1" t="s">
        <v>786</v>
      </c>
      <c r="H72" s="2">
        <v>1</v>
      </c>
      <c r="I72" s="2">
        <v>49</v>
      </c>
      <c r="K72" s="40">
        <v>0</v>
      </c>
    </row>
    <row r="73" spans="1:11" x14ac:dyDescent="0.25">
      <c r="A73" s="1">
        <v>2373016</v>
      </c>
      <c r="B73" s="1" t="s">
        <v>576</v>
      </c>
      <c r="D73" s="2">
        <v>0</v>
      </c>
      <c r="E73" s="2" t="s">
        <v>0</v>
      </c>
      <c r="F73" s="2" t="s">
        <v>42</v>
      </c>
      <c r="G73" s="1" t="s">
        <v>786</v>
      </c>
      <c r="H73" s="2">
        <v>1</v>
      </c>
      <c r="I73" s="2">
        <v>49</v>
      </c>
      <c r="K73" s="40">
        <v>0</v>
      </c>
    </row>
    <row r="74" spans="1:11" x14ac:dyDescent="0.25">
      <c r="A74" s="1">
        <v>2373017</v>
      </c>
      <c r="B74" s="1" t="s">
        <v>577</v>
      </c>
      <c r="D74" s="2">
        <v>0</v>
      </c>
      <c r="E74" s="2" t="s">
        <v>0</v>
      </c>
      <c r="F74" s="2" t="s">
        <v>42</v>
      </c>
      <c r="G74" s="1" t="s">
        <v>786</v>
      </c>
      <c r="H74" s="2">
        <v>1</v>
      </c>
      <c r="I74" s="2">
        <v>49</v>
      </c>
      <c r="K74" s="40">
        <v>0</v>
      </c>
    </row>
    <row r="75" spans="1:11" x14ac:dyDescent="0.25">
      <c r="A75" s="1">
        <v>2193704</v>
      </c>
      <c r="B75" s="1" t="s">
        <v>96</v>
      </c>
      <c r="D75" s="2">
        <v>0</v>
      </c>
      <c r="E75" s="2" t="s">
        <v>0</v>
      </c>
      <c r="F75" s="2" t="s">
        <v>41</v>
      </c>
      <c r="G75" s="1" t="s">
        <v>1970</v>
      </c>
      <c r="H75" s="2">
        <v>1</v>
      </c>
      <c r="I75" s="2">
        <v>42</v>
      </c>
      <c r="K75" s="40">
        <v>0</v>
      </c>
    </row>
    <row r="76" spans="1:11" x14ac:dyDescent="0.25">
      <c r="A76" s="1">
        <v>2193705</v>
      </c>
      <c r="B76" s="1" t="s">
        <v>97</v>
      </c>
      <c r="D76" s="2">
        <v>0</v>
      </c>
      <c r="E76" s="2" t="s">
        <v>0</v>
      </c>
      <c r="F76" s="2" t="s">
        <v>41</v>
      </c>
      <c r="G76" s="1" t="s">
        <v>786</v>
      </c>
      <c r="H76" s="2">
        <v>1</v>
      </c>
      <c r="I76" s="2">
        <v>42</v>
      </c>
      <c r="K76" s="40">
        <v>0</v>
      </c>
    </row>
    <row r="77" spans="1:11" x14ac:dyDescent="0.25">
      <c r="A77" s="1">
        <v>2193706</v>
      </c>
      <c r="B77" s="1" t="s">
        <v>98</v>
      </c>
      <c r="D77" s="2">
        <v>0</v>
      </c>
      <c r="E77" s="2" t="s">
        <v>0</v>
      </c>
      <c r="F77" s="2" t="s">
        <v>41</v>
      </c>
      <c r="G77" s="1" t="s">
        <v>786</v>
      </c>
      <c r="H77" s="2">
        <v>1</v>
      </c>
      <c r="I77" s="2">
        <v>42</v>
      </c>
      <c r="K77" s="40">
        <v>0</v>
      </c>
    </row>
    <row r="78" spans="1:11" x14ac:dyDescent="0.25">
      <c r="A78" s="1">
        <v>2193707</v>
      </c>
      <c r="B78" s="1" t="s">
        <v>99</v>
      </c>
      <c r="D78" s="2">
        <v>0</v>
      </c>
      <c r="E78" s="2" t="s">
        <v>0</v>
      </c>
      <c r="F78" s="2" t="s">
        <v>41</v>
      </c>
      <c r="G78" s="1" t="s">
        <v>1970</v>
      </c>
      <c r="H78" s="2">
        <v>1</v>
      </c>
      <c r="I78" s="2">
        <v>42</v>
      </c>
      <c r="K78" s="40">
        <v>0</v>
      </c>
    </row>
    <row r="79" spans="1:11" x14ac:dyDescent="0.25">
      <c r="A79" s="1">
        <v>2193708</v>
      </c>
      <c r="B79" s="1" t="s">
        <v>100</v>
      </c>
      <c r="D79" s="2">
        <v>0</v>
      </c>
      <c r="E79" s="2" t="s">
        <v>0</v>
      </c>
      <c r="F79" s="2" t="s">
        <v>41</v>
      </c>
      <c r="G79" s="1" t="s">
        <v>786</v>
      </c>
      <c r="H79" s="2">
        <v>1</v>
      </c>
      <c r="I79" s="2">
        <v>42</v>
      </c>
      <c r="K79" s="40">
        <v>0</v>
      </c>
    </row>
    <row r="80" spans="1:11" x14ac:dyDescent="0.25">
      <c r="A80" s="1">
        <v>2193709</v>
      </c>
      <c r="B80" s="1" t="s">
        <v>101</v>
      </c>
      <c r="D80" s="2">
        <v>0</v>
      </c>
      <c r="E80" s="2" t="s">
        <v>0</v>
      </c>
      <c r="F80" s="2" t="s">
        <v>41</v>
      </c>
      <c r="G80" s="1" t="s">
        <v>786</v>
      </c>
      <c r="H80" s="2">
        <v>1</v>
      </c>
      <c r="I80" s="2">
        <v>42</v>
      </c>
      <c r="K80" s="40">
        <v>0</v>
      </c>
    </row>
    <row r="81" spans="1:11" x14ac:dyDescent="0.25">
      <c r="A81" s="1">
        <v>2193703</v>
      </c>
      <c r="B81" s="1" t="s">
        <v>102</v>
      </c>
      <c r="D81" s="2">
        <v>0</v>
      </c>
      <c r="E81" s="2" t="s">
        <v>0</v>
      </c>
      <c r="F81" s="2" t="s">
        <v>41</v>
      </c>
      <c r="G81" s="1" t="s">
        <v>786</v>
      </c>
      <c r="H81" s="2">
        <v>1</v>
      </c>
      <c r="I81" s="2">
        <v>7</v>
      </c>
      <c r="K81" s="40">
        <v>0</v>
      </c>
    </row>
    <row r="82" spans="1:11" x14ac:dyDescent="0.25">
      <c r="A82" s="1">
        <v>2193701</v>
      </c>
      <c r="B82" s="1" t="s">
        <v>103</v>
      </c>
      <c r="D82" s="2">
        <v>0</v>
      </c>
      <c r="E82" s="2" t="s">
        <v>0</v>
      </c>
      <c r="F82" s="2" t="s">
        <v>42</v>
      </c>
      <c r="G82" s="1" t="s">
        <v>1970</v>
      </c>
      <c r="H82" s="2">
        <v>1</v>
      </c>
      <c r="I82" s="2">
        <v>42</v>
      </c>
      <c r="K82" s="40">
        <v>0</v>
      </c>
    </row>
    <row r="83" spans="1:11" x14ac:dyDescent="0.25">
      <c r="A83" s="1">
        <v>2193702</v>
      </c>
      <c r="B83" s="1" t="s">
        <v>104</v>
      </c>
      <c r="D83" s="2">
        <v>0</v>
      </c>
      <c r="E83" s="2" t="s">
        <v>0</v>
      </c>
      <c r="F83" s="2" t="s">
        <v>42</v>
      </c>
      <c r="G83" s="1" t="s">
        <v>786</v>
      </c>
      <c r="H83" s="2">
        <v>1</v>
      </c>
      <c r="I83" s="2">
        <v>42</v>
      </c>
      <c r="K83" s="40">
        <v>0</v>
      </c>
    </row>
    <row r="84" spans="1:11" x14ac:dyDescent="0.25">
      <c r="A84" s="1">
        <v>1929288</v>
      </c>
      <c r="B84" s="1" t="s">
        <v>38</v>
      </c>
      <c r="D84" s="2">
        <v>0</v>
      </c>
      <c r="E84" s="2" t="s">
        <v>0</v>
      </c>
      <c r="F84" s="2" t="s">
        <v>41</v>
      </c>
      <c r="G84" s="1" t="s">
        <v>786</v>
      </c>
      <c r="H84" s="2">
        <v>1</v>
      </c>
      <c r="I84" s="2">
        <v>7</v>
      </c>
      <c r="K84" s="40">
        <v>0</v>
      </c>
    </row>
    <row r="85" spans="1:11" x14ac:dyDescent="0.25">
      <c r="A85" s="1">
        <v>1062106</v>
      </c>
      <c r="B85" s="1" t="s">
        <v>105</v>
      </c>
      <c r="D85" s="2">
        <v>0</v>
      </c>
      <c r="E85" s="2" t="s">
        <v>0</v>
      </c>
      <c r="F85" s="2" t="s">
        <v>557</v>
      </c>
      <c r="G85" s="1" t="s">
        <v>1968</v>
      </c>
      <c r="H85" s="2">
        <v>1</v>
      </c>
      <c r="I85" s="2">
        <v>7</v>
      </c>
      <c r="J85" s="15">
        <v>3149.64</v>
      </c>
      <c r="K85" s="40">
        <v>0</v>
      </c>
    </row>
    <row r="86" spans="1:11" x14ac:dyDescent="0.25">
      <c r="A86" s="1">
        <v>1354231</v>
      </c>
      <c r="B86" s="1" t="s">
        <v>106</v>
      </c>
      <c r="D86" s="2">
        <v>0</v>
      </c>
      <c r="E86" s="2" t="s">
        <v>0</v>
      </c>
      <c r="F86" s="2" t="s">
        <v>557</v>
      </c>
      <c r="G86" s="1" t="s">
        <v>1968</v>
      </c>
      <c r="H86" s="2">
        <v>1</v>
      </c>
      <c r="I86" s="2">
        <v>7</v>
      </c>
      <c r="J86" s="15">
        <v>1100.76</v>
      </c>
      <c r="K86" s="40">
        <v>0</v>
      </c>
    </row>
    <row r="87" spans="1:11" x14ac:dyDescent="0.25">
      <c r="A87" s="1">
        <v>1354232</v>
      </c>
      <c r="B87" s="1" t="s">
        <v>107</v>
      </c>
      <c r="D87" s="2">
        <v>0</v>
      </c>
      <c r="E87" s="2" t="s">
        <v>0</v>
      </c>
      <c r="F87" s="2" t="s">
        <v>557</v>
      </c>
      <c r="G87" s="1" t="s">
        <v>1968</v>
      </c>
      <c r="H87" s="2">
        <v>1</v>
      </c>
      <c r="I87" s="2">
        <v>7</v>
      </c>
      <c r="J87" s="15">
        <v>828.65</v>
      </c>
      <c r="K87" s="40">
        <v>0</v>
      </c>
    </row>
    <row r="88" spans="1:11" x14ac:dyDescent="0.25">
      <c r="A88" s="1">
        <v>1251693</v>
      </c>
      <c r="B88" s="1" t="s">
        <v>108</v>
      </c>
      <c r="D88" s="2">
        <v>0</v>
      </c>
      <c r="E88" s="2" t="s">
        <v>0</v>
      </c>
      <c r="F88" s="2" t="s">
        <v>585</v>
      </c>
      <c r="G88" s="1" t="s">
        <v>1968</v>
      </c>
      <c r="H88" s="2">
        <v>1</v>
      </c>
      <c r="I88" s="2">
        <v>7</v>
      </c>
      <c r="J88" s="15">
        <v>396.09</v>
      </c>
      <c r="K88" s="40">
        <v>0</v>
      </c>
    </row>
    <row r="89" spans="1:11" x14ac:dyDescent="0.25">
      <c r="A89" s="1">
        <v>1070020</v>
      </c>
      <c r="B89" s="1" t="s">
        <v>109</v>
      </c>
      <c r="D89" s="2">
        <v>0</v>
      </c>
      <c r="E89" s="2" t="s">
        <v>0</v>
      </c>
      <c r="F89" s="2" t="s">
        <v>42</v>
      </c>
      <c r="G89" s="1" t="s">
        <v>1968</v>
      </c>
      <c r="H89" s="2">
        <v>1</v>
      </c>
      <c r="I89" s="2">
        <v>7</v>
      </c>
      <c r="J89" s="15">
        <v>52.96</v>
      </c>
      <c r="K89" s="40">
        <v>0</v>
      </c>
    </row>
    <row r="90" spans="1:11" x14ac:dyDescent="0.25">
      <c r="A90" s="1">
        <v>1070018</v>
      </c>
      <c r="B90" s="1" t="s">
        <v>110</v>
      </c>
      <c r="D90" s="2">
        <v>0</v>
      </c>
      <c r="E90" s="2" t="s">
        <v>0</v>
      </c>
      <c r="F90" s="2" t="s">
        <v>42</v>
      </c>
      <c r="G90" s="1" t="s">
        <v>1968</v>
      </c>
      <c r="H90" s="2">
        <v>1</v>
      </c>
      <c r="I90" s="2">
        <v>7</v>
      </c>
      <c r="J90" s="15">
        <v>94.13</v>
      </c>
      <c r="K90" s="40">
        <v>0</v>
      </c>
    </row>
    <row r="91" spans="1:11" x14ac:dyDescent="0.25">
      <c r="A91" s="1">
        <v>2023492</v>
      </c>
      <c r="B91" s="1" t="s">
        <v>570</v>
      </c>
      <c r="D91" s="2">
        <v>0</v>
      </c>
      <c r="E91" s="2" t="s">
        <v>39</v>
      </c>
      <c r="F91" s="2" t="s">
        <v>41</v>
      </c>
      <c r="G91" s="1" t="s">
        <v>1968</v>
      </c>
      <c r="H91" s="2">
        <v>500</v>
      </c>
      <c r="I91" s="2">
        <v>42</v>
      </c>
      <c r="J91" s="15">
        <v>1.4</v>
      </c>
      <c r="K91" s="40">
        <v>0</v>
      </c>
    </row>
    <row r="92" spans="1:11" x14ac:dyDescent="0.25">
      <c r="A92" s="1">
        <v>2048240</v>
      </c>
      <c r="B92" s="1" t="s">
        <v>111</v>
      </c>
      <c r="D92" s="2">
        <v>0</v>
      </c>
      <c r="E92" s="2" t="s">
        <v>0</v>
      </c>
      <c r="F92" s="2" t="s">
        <v>557</v>
      </c>
      <c r="G92" s="1" t="s">
        <v>1968</v>
      </c>
      <c r="H92" s="2">
        <v>1</v>
      </c>
      <c r="I92" s="2">
        <v>7</v>
      </c>
      <c r="J92" s="15">
        <v>34.94</v>
      </c>
      <c r="K92" s="40">
        <v>0</v>
      </c>
    </row>
    <row r="93" spans="1:11" x14ac:dyDescent="0.25">
      <c r="A93" s="1">
        <v>1354226</v>
      </c>
      <c r="B93" s="1" t="s">
        <v>112</v>
      </c>
      <c r="D93" s="2">
        <v>0</v>
      </c>
      <c r="E93" s="2" t="s">
        <v>0</v>
      </c>
      <c r="F93" s="2" t="s">
        <v>557</v>
      </c>
      <c r="G93" s="1" t="s">
        <v>1968</v>
      </c>
      <c r="H93" s="2">
        <v>1</v>
      </c>
      <c r="I93" s="2">
        <v>7</v>
      </c>
      <c r="J93" s="15">
        <v>34.94</v>
      </c>
      <c r="K93" s="40">
        <v>0</v>
      </c>
    </row>
    <row r="94" spans="1:11" x14ac:dyDescent="0.25">
      <c r="A94" s="1">
        <v>1354227</v>
      </c>
      <c r="B94" s="1" t="s">
        <v>113</v>
      </c>
      <c r="D94" s="2">
        <v>0</v>
      </c>
      <c r="E94" s="2" t="s">
        <v>0</v>
      </c>
      <c r="F94" s="2" t="s">
        <v>557</v>
      </c>
      <c r="G94" s="1" t="s">
        <v>1968</v>
      </c>
      <c r="H94" s="2">
        <v>1</v>
      </c>
      <c r="I94" s="2">
        <v>7</v>
      </c>
      <c r="J94" s="15">
        <v>34.94</v>
      </c>
      <c r="K94" s="40">
        <v>0</v>
      </c>
    </row>
    <row r="95" spans="1:11" x14ac:dyDescent="0.25">
      <c r="A95" s="1">
        <v>1354228</v>
      </c>
      <c r="B95" s="1" t="s">
        <v>114</v>
      </c>
      <c r="D95" s="2">
        <v>0</v>
      </c>
      <c r="E95" s="2" t="s">
        <v>0</v>
      </c>
      <c r="F95" s="2" t="s">
        <v>557</v>
      </c>
      <c r="G95" s="1" t="s">
        <v>1968</v>
      </c>
      <c r="H95" s="2">
        <v>1</v>
      </c>
      <c r="I95" s="2">
        <v>7</v>
      </c>
      <c r="J95" s="15">
        <v>34.94</v>
      </c>
      <c r="K95" s="40">
        <v>0</v>
      </c>
    </row>
    <row r="96" spans="1:11" x14ac:dyDescent="0.25">
      <c r="A96" s="1">
        <v>1354229</v>
      </c>
      <c r="B96" s="1" t="s">
        <v>115</v>
      </c>
      <c r="D96" s="2">
        <v>0</v>
      </c>
      <c r="E96" s="2" t="s">
        <v>0</v>
      </c>
      <c r="F96" s="2" t="s">
        <v>557</v>
      </c>
      <c r="G96" s="1" t="s">
        <v>1968</v>
      </c>
      <c r="H96" s="2">
        <v>1</v>
      </c>
      <c r="I96" s="2">
        <v>7</v>
      </c>
      <c r="J96" s="15">
        <v>34.94</v>
      </c>
      <c r="K96" s="40">
        <v>0</v>
      </c>
    </row>
    <row r="97" spans="1:11" x14ac:dyDescent="0.25">
      <c r="A97" s="1">
        <v>1354230</v>
      </c>
      <c r="B97" s="1" t="s">
        <v>554</v>
      </c>
      <c r="D97" s="2">
        <v>0</v>
      </c>
      <c r="E97" s="2" t="s">
        <v>0</v>
      </c>
      <c r="F97" s="2" t="s">
        <v>557</v>
      </c>
      <c r="G97" s="1" t="s">
        <v>1968</v>
      </c>
      <c r="H97" s="2">
        <v>1</v>
      </c>
      <c r="I97" s="2">
        <v>7</v>
      </c>
      <c r="J97" s="15">
        <v>34.94</v>
      </c>
      <c r="K97" s="40">
        <v>0</v>
      </c>
    </row>
    <row r="98" spans="1:11" x14ac:dyDescent="0.25">
      <c r="A98" s="1">
        <v>2348163</v>
      </c>
      <c r="B98" s="1" t="s">
        <v>553</v>
      </c>
      <c r="D98" s="2">
        <v>0</v>
      </c>
      <c r="E98" s="2" t="s">
        <v>0</v>
      </c>
      <c r="F98" s="2" t="s">
        <v>557</v>
      </c>
      <c r="G98" s="1" t="s">
        <v>1968</v>
      </c>
      <c r="H98" s="2">
        <v>1</v>
      </c>
      <c r="I98" s="2">
        <v>7</v>
      </c>
      <c r="J98" s="15">
        <v>34.94</v>
      </c>
      <c r="K98" s="40">
        <v>0</v>
      </c>
    </row>
    <row r="99" spans="1:11" x14ac:dyDescent="0.25">
      <c r="A99" s="1">
        <v>1370330</v>
      </c>
      <c r="B99" s="1" t="s">
        <v>116</v>
      </c>
      <c r="D99" s="2">
        <v>0</v>
      </c>
      <c r="E99" s="2" t="s">
        <v>39</v>
      </c>
      <c r="F99" s="2" t="s">
        <v>41</v>
      </c>
      <c r="G99" s="1" t="s">
        <v>1968</v>
      </c>
      <c r="H99" s="2">
        <v>1</v>
      </c>
      <c r="I99" s="2">
        <v>42</v>
      </c>
      <c r="J99" s="15">
        <v>0.79</v>
      </c>
      <c r="K99" s="40">
        <v>0</v>
      </c>
    </row>
    <row r="100" spans="1:11" x14ac:dyDescent="0.25">
      <c r="A100" s="1">
        <v>2218544</v>
      </c>
      <c r="B100" s="1" t="s">
        <v>117</v>
      </c>
      <c r="D100" s="2">
        <v>0</v>
      </c>
      <c r="E100" s="2" t="s">
        <v>39</v>
      </c>
      <c r="F100" s="2" t="s">
        <v>41</v>
      </c>
      <c r="G100" s="1" t="s">
        <v>1968</v>
      </c>
      <c r="H100" s="2">
        <v>1</v>
      </c>
      <c r="I100" s="2">
        <v>14</v>
      </c>
      <c r="J100" s="15">
        <v>1.32</v>
      </c>
      <c r="K100" s="40">
        <v>0</v>
      </c>
    </row>
    <row r="101" spans="1:11" x14ac:dyDescent="0.25">
      <c r="A101" s="1">
        <v>2218551</v>
      </c>
      <c r="B101" s="1" t="s">
        <v>118</v>
      </c>
      <c r="D101" s="2">
        <v>0</v>
      </c>
      <c r="E101" s="2" t="s">
        <v>39</v>
      </c>
      <c r="F101" s="2" t="s">
        <v>41</v>
      </c>
      <c r="G101" s="1" t="s">
        <v>1968</v>
      </c>
      <c r="H101" s="2">
        <v>1</v>
      </c>
      <c r="I101" s="2">
        <v>14</v>
      </c>
      <c r="J101" s="15">
        <v>4.41</v>
      </c>
      <c r="K101" s="40">
        <v>0</v>
      </c>
    </row>
    <row r="102" spans="1:11" x14ac:dyDescent="0.25">
      <c r="A102" s="1">
        <v>1087988</v>
      </c>
      <c r="B102" s="1" t="s">
        <v>119</v>
      </c>
      <c r="D102" s="2">
        <v>0</v>
      </c>
      <c r="E102" s="2" t="s">
        <v>39</v>
      </c>
      <c r="F102" s="2" t="s">
        <v>41</v>
      </c>
      <c r="G102" s="1" t="s">
        <v>1968</v>
      </c>
      <c r="H102" s="2">
        <v>1</v>
      </c>
      <c r="I102" s="2">
        <v>14</v>
      </c>
      <c r="J102" s="15">
        <v>4.3499999999999996</v>
      </c>
      <c r="K102" s="40">
        <v>0</v>
      </c>
    </row>
    <row r="103" spans="1:11" x14ac:dyDescent="0.25">
      <c r="A103" s="1">
        <v>2218545</v>
      </c>
      <c r="B103" s="1" t="s">
        <v>120</v>
      </c>
      <c r="D103" s="2">
        <v>0</v>
      </c>
      <c r="E103" s="2" t="s">
        <v>39</v>
      </c>
      <c r="F103" s="2" t="s">
        <v>41</v>
      </c>
      <c r="G103" s="1" t="s">
        <v>1968</v>
      </c>
      <c r="H103" s="2">
        <v>1</v>
      </c>
      <c r="I103" s="2">
        <v>14</v>
      </c>
      <c r="J103" s="15">
        <v>1.49</v>
      </c>
      <c r="K103" s="40">
        <v>0</v>
      </c>
    </row>
    <row r="104" spans="1:11" x14ac:dyDescent="0.25">
      <c r="A104" s="1">
        <v>1089246</v>
      </c>
      <c r="B104" s="1" t="s">
        <v>121</v>
      </c>
      <c r="D104" s="2">
        <v>0</v>
      </c>
      <c r="E104" s="2" t="s">
        <v>39</v>
      </c>
      <c r="F104" s="2" t="s">
        <v>557</v>
      </c>
      <c r="G104" s="1" t="s">
        <v>1969</v>
      </c>
      <c r="H104" s="2">
        <v>1</v>
      </c>
      <c r="I104" s="2">
        <v>21</v>
      </c>
      <c r="J104" s="15">
        <v>4.9000000000000004</v>
      </c>
      <c r="K104" s="40">
        <v>0</v>
      </c>
    </row>
    <row r="105" spans="1:11" x14ac:dyDescent="0.25">
      <c r="A105" s="1">
        <v>1087995</v>
      </c>
      <c r="B105" s="1" t="s">
        <v>122</v>
      </c>
      <c r="D105" s="2">
        <v>0</v>
      </c>
      <c r="E105" s="2" t="s">
        <v>39</v>
      </c>
      <c r="F105" s="2" t="s">
        <v>41</v>
      </c>
      <c r="G105" s="1" t="s">
        <v>1968</v>
      </c>
      <c r="H105" s="2">
        <v>1</v>
      </c>
      <c r="I105" s="2">
        <v>14</v>
      </c>
      <c r="J105" s="15">
        <v>9.3800000000000008</v>
      </c>
      <c r="K105" s="40">
        <v>0</v>
      </c>
    </row>
    <row r="106" spans="1:11" x14ac:dyDescent="0.25">
      <c r="A106" s="1">
        <v>2218552</v>
      </c>
      <c r="B106" s="1" t="s">
        <v>123</v>
      </c>
      <c r="D106" s="2">
        <v>0</v>
      </c>
      <c r="E106" s="2" t="s">
        <v>39</v>
      </c>
      <c r="F106" s="2" t="s">
        <v>41</v>
      </c>
      <c r="G106" s="1" t="s">
        <v>1968</v>
      </c>
      <c r="H106" s="2">
        <v>1</v>
      </c>
      <c r="I106" s="2">
        <v>14</v>
      </c>
      <c r="J106" s="15">
        <v>7.37</v>
      </c>
      <c r="K106" s="40">
        <v>0</v>
      </c>
    </row>
    <row r="107" spans="1:11" x14ac:dyDescent="0.25">
      <c r="A107" s="1">
        <v>1087997</v>
      </c>
      <c r="B107" s="1" t="s">
        <v>124</v>
      </c>
      <c r="D107" s="2">
        <v>0</v>
      </c>
      <c r="E107" s="2" t="s">
        <v>39</v>
      </c>
      <c r="F107" s="2" t="s">
        <v>41</v>
      </c>
      <c r="G107" s="1" t="s">
        <v>786</v>
      </c>
      <c r="H107" s="2">
        <v>1</v>
      </c>
      <c r="I107" s="2">
        <v>14</v>
      </c>
      <c r="K107" s="40">
        <v>0</v>
      </c>
    </row>
    <row r="108" spans="1:11" x14ac:dyDescent="0.25">
      <c r="A108" s="1">
        <v>2218547</v>
      </c>
      <c r="B108" s="1" t="s">
        <v>125</v>
      </c>
      <c r="D108" s="2">
        <v>0</v>
      </c>
      <c r="E108" s="2" t="s">
        <v>39</v>
      </c>
      <c r="F108" s="2" t="s">
        <v>41</v>
      </c>
      <c r="G108" s="1" t="s">
        <v>1968</v>
      </c>
      <c r="H108" s="2">
        <v>1</v>
      </c>
      <c r="I108" s="2">
        <v>14</v>
      </c>
      <c r="J108" s="15">
        <v>1.88</v>
      </c>
      <c r="K108" s="40">
        <v>0</v>
      </c>
    </row>
    <row r="109" spans="1:11" x14ac:dyDescent="0.25">
      <c r="A109" s="1">
        <v>1087998</v>
      </c>
      <c r="B109" s="1" t="s">
        <v>126</v>
      </c>
      <c r="D109" s="2">
        <v>0</v>
      </c>
      <c r="E109" s="2" t="s">
        <v>39</v>
      </c>
      <c r="F109" s="2" t="s">
        <v>41</v>
      </c>
      <c r="G109" s="1" t="s">
        <v>1968</v>
      </c>
      <c r="H109" s="2">
        <v>1</v>
      </c>
      <c r="I109" s="2">
        <v>14</v>
      </c>
      <c r="J109" s="15">
        <v>21.41</v>
      </c>
      <c r="K109" s="40">
        <v>0</v>
      </c>
    </row>
    <row r="110" spans="1:11" x14ac:dyDescent="0.25">
      <c r="A110" s="1">
        <v>2218550</v>
      </c>
      <c r="B110" s="1" t="s">
        <v>127</v>
      </c>
      <c r="D110" s="2">
        <v>0</v>
      </c>
      <c r="E110" s="2" t="s">
        <v>39</v>
      </c>
      <c r="F110" s="2" t="s">
        <v>41</v>
      </c>
      <c r="G110" s="1" t="s">
        <v>1968</v>
      </c>
      <c r="H110" s="2">
        <v>1</v>
      </c>
      <c r="I110" s="2">
        <v>14</v>
      </c>
      <c r="J110" s="15">
        <v>3</v>
      </c>
      <c r="K110" s="40">
        <v>0</v>
      </c>
    </row>
    <row r="111" spans="1:11" x14ac:dyDescent="0.25">
      <c r="A111" s="1">
        <v>1087987</v>
      </c>
      <c r="B111" s="1" t="s">
        <v>128</v>
      </c>
      <c r="D111" s="2">
        <v>0</v>
      </c>
      <c r="E111" s="2" t="s">
        <v>39</v>
      </c>
      <c r="F111" s="2" t="s">
        <v>41</v>
      </c>
      <c r="G111" s="1" t="s">
        <v>1968</v>
      </c>
      <c r="H111" s="2">
        <v>1</v>
      </c>
      <c r="I111" s="2">
        <v>14</v>
      </c>
      <c r="J111" s="15">
        <v>3.33</v>
      </c>
      <c r="K111" s="40">
        <v>0</v>
      </c>
    </row>
    <row r="112" spans="1:11" x14ac:dyDescent="0.25">
      <c r="A112" s="1">
        <v>1096816</v>
      </c>
      <c r="B112" s="1" t="s">
        <v>529</v>
      </c>
      <c r="D112" s="2">
        <v>0</v>
      </c>
      <c r="E112" s="2" t="s">
        <v>131</v>
      </c>
      <c r="F112" s="2" t="s">
        <v>41</v>
      </c>
      <c r="G112" s="1" t="s">
        <v>1968</v>
      </c>
      <c r="H112" s="2">
        <v>1</v>
      </c>
      <c r="I112" s="2">
        <v>7</v>
      </c>
      <c r="J112" s="15">
        <v>14.97</v>
      </c>
      <c r="K112" s="40">
        <v>0</v>
      </c>
    </row>
    <row r="113" spans="1:11" x14ac:dyDescent="0.25">
      <c r="A113" s="1">
        <v>2117550</v>
      </c>
      <c r="B113" s="1" t="s">
        <v>537</v>
      </c>
      <c r="D113" s="2">
        <v>0</v>
      </c>
      <c r="E113" s="2" t="s">
        <v>0</v>
      </c>
      <c r="F113" s="2" t="s">
        <v>42</v>
      </c>
      <c r="G113" s="1" t="s">
        <v>1969</v>
      </c>
      <c r="H113" s="2">
        <v>1</v>
      </c>
      <c r="I113" s="2">
        <v>7</v>
      </c>
      <c r="J113" s="15">
        <v>1637.14</v>
      </c>
      <c r="K113" s="40">
        <v>0</v>
      </c>
    </row>
    <row r="114" spans="1:11" x14ac:dyDescent="0.25">
      <c r="A114" s="1">
        <v>1011782</v>
      </c>
      <c r="B114" s="1" t="s">
        <v>129</v>
      </c>
      <c r="D114" s="2">
        <v>0</v>
      </c>
      <c r="E114" s="2" t="s">
        <v>131</v>
      </c>
      <c r="F114" s="2" t="s">
        <v>41</v>
      </c>
      <c r="G114" s="1" t="s">
        <v>1968</v>
      </c>
      <c r="H114" s="2">
        <v>1</v>
      </c>
      <c r="I114" s="2">
        <v>7</v>
      </c>
      <c r="J114" s="15">
        <v>37.75</v>
      </c>
      <c r="K114" s="40">
        <v>0</v>
      </c>
    </row>
    <row r="115" spans="1:11" x14ac:dyDescent="0.25">
      <c r="A115" s="1">
        <v>2243960</v>
      </c>
      <c r="B115" s="1" t="s">
        <v>130</v>
      </c>
      <c r="D115" s="2">
        <v>0</v>
      </c>
      <c r="E115" s="2" t="s">
        <v>131</v>
      </c>
      <c r="F115" s="2" t="s">
        <v>41</v>
      </c>
      <c r="G115" s="1" t="s">
        <v>1968</v>
      </c>
      <c r="H115" s="2">
        <v>1</v>
      </c>
      <c r="I115" s="2">
        <v>7</v>
      </c>
      <c r="J115" s="15">
        <v>9.76</v>
      </c>
      <c r="K115" s="40">
        <v>0</v>
      </c>
    </row>
    <row r="116" spans="1:11" x14ac:dyDescent="0.25">
      <c r="A116" s="1">
        <v>1003943</v>
      </c>
      <c r="B116" s="1" t="s">
        <v>132</v>
      </c>
      <c r="D116" s="2">
        <v>0</v>
      </c>
      <c r="E116" s="2" t="s">
        <v>131</v>
      </c>
      <c r="F116" s="2" t="s">
        <v>41</v>
      </c>
      <c r="G116" s="1" t="s">
        <v>1968</v>
      </c>
      <c r="H116" s="2">
        <v>1</v>
      </c>
      <c r="I116" s="2">
        <v>7</v>
      </c>
      <c r="J116" s="15">
        <v>13.42</v>
      </c>
      <c r="K116" s="40">
        <v>0</v>
      </c>
    </row>
    <row r="117" spans="1:11" x14ac:dyDescent="0.25">
      <c r="A117" s="1">
        <v>1005694</v>
      </c>
      <c r="B117" s="1" t="s">
        <v>133</v>
      </c>
      <c r="D117" s="2">
        <v>0</v>
      </c>
      <c r="E117" s="2" t="s">
        <v>131</v>
      </c>
      <c r="F117" s="2" t="s">
        <v>41</v>
      </c>
      <c r="G117" s="1" t="s">
        <v>1968</v>
      </c>
      <c r="H117" s="2">
        <v>1</v>
      </c>
      <c r="I117" s="2">
        <v>7</v>
      </c>
      <c r="J117" s="15">
        <v>10.28</v>
      </c>
      <c r="K117" s="40">
        <v>0</v>
      </c>
    </row>
    <row r="118" spans="1:11" x14ac:dyDescent="0.25">
      <c r="A118" s="1">
        <v>1003946</v>
      </c>
      <c r="B118" s="1" t="s">
        <v>134</v>
      </c>
      <c r="D118" s="2">
        <v>0</v>
      </c>
      <c r="E118" s="2" t="s">
        <v>131</v>
      </c>
      <c r="F118" s="2" t="s">
        <v>41</v>
      </c>
      <c r="G118" s="1" t="s">
        <v>1968</v>
      </c>
      <c r="H118" s="2">
        <v>1</v>
      </c>
      <c r="I118" s="2">
        <v>7</v>
      </c>
      <c r="J118" s="15">
        <v>37.81</v>
      </c>
      <c r="K118" s="40">
        <v>0</v>
      </c>
    </row>
    <row r="119" spans="1:11" x14ac:dyDescent="0.25">
      <c r="A119" s="1">
        <v>2243978</v>
      </c>
      <c r="B119" s="1" t="s">
        <v>777</v>
      </c>
      <c r="D119" s="2">
        <v>0</v>
      </c>
      <c r="E119" s="2" t="s">
        <v>131</v>
      </c>
      <c r="F119" s="2" t="s">
        <v>41</v>
      </c>
      <c r="G119" s="1" t="s">
        <v>1968</v>
      </c>
      <c r="H119" s="2">
        <v>1</v>
      </c>
      <c r="I119" s="2">
        <v>7</v>
      </c>
      <c r="J119" s="15">
        <v>18.53</v>
      </c>
      <c r="K119" s="40">
        <v>0</v>
      </c>
    </row>
    <row r="120" spans="1:11" x14ac:dyDescent="0.25">
      <c r="A120" s="1">
        <v>2243977</v>
      </c>
      <c r="B120" s="1" t="s">
        <v>778</v>
      </c>
      <c r="D120" s="2">
        <v>0</v>
      </c>
      <c r="E120" s="2" t="s">
        <v>131</v>
      </c>
      <c r="F120" s="2" t="s">
        <v>41</v>
      </c>
      <c r="G120" s="1" t="s">
        <v>1968</v>
      </c>
      <c r="H120" s="2">
        <v>1</v>
      </c>
      <c r="I120" s="2">
        <v>7</v>
      </c>
      <c r="J120" s="15">
        <v>22.95</v>
      </c>
      <c r="K120" s="40">
        <v>0</v>
      </c>
    </row>
    <row r="121" spans="1:11" x14ac:dyDescent="0.25">
      <c r="A121" s="1">
        <v>3080431</v>
      </c>
      <c r="B121" s="1" t="s">
        <v>135</v>
      </c>
      <c r="D121" s="2">
        <v>0</v>
      </c>
      <c r="E121" s="2" t="s">
        <v>0</v>
      </c>
      <c r="F121" s="2" t="s">
        <v>41</v>
      </c>
      <c r="G121" s="1" t="s">
        <v>1968</v>
      </c>
      <c r="H121" s="2">
        <v>1</v>
      </c>
      <c r="I121" s="2">
        <v>7</v>
      </c>
      <c r="J121" s="15">
        <v>6.31</v>
      </c>
      <c r="K121" s="40">
        <v>0</v>
      </c>
    </row>
    <row r="122" spans="1:11" x14ac:dyDescent="0.25">
      <c r="A122" s="1">
        <v>3080429</v>
      </c>
      <c r="B122" s="1" t="s">
        <v>136</v>
      </c>
      <c r="D122" s="2">
        <v>0</v>
      </c>
      <c r="E122" s="2" t="s">
        <v>0</v>
      </c>
      <c r="F122" s="2" t="s">
        <v>41</v>
      </c>
      <c r="G122" s="1" t="s">
        <v>1968</v>
      </c>
      <c r="H122" s="2">
        <v>1</v>
      </c>
      <c r="I122" s="2">
        <v>7</v>
      </c>
      <c r="J122" s="15">
        <v>11.4</v>
      </c>
      <c r="K122" s="40">
        <v>0</v>
      </c>
    </row>
    <row r="123" spans="1:11" x14ac:dyDescent="0.25">
      <c r="A123" s="1">
        <v>1011499</v>
      </c>
      <c r="B123" s="1" t="s">
        <v>562</v>
      </c>
      <c r="D123" s="2">
        <v>0</v>
      </c>
      <c r="E123" s="2" t="s">
        <v>0</v>
      </c>
      <c r="F123" s="2" t="s">
        <v>43</v>
      </c>
      <c r="G123" s="1" t="s">
        <v>1968</v>
      </c>
      <c r="H123" s="2">
        <v>1</v>
      </c>
      <c r="I123" s="2">
        <v>7</v>
      </c>
      <c r="J123" s="15">
        <v>0.26</v>
      </c>
      <c r="K123" s="40">
        <v>0</v>
      </c>
    </row>
    <row r="124" spans="1:11" x14ac:dyDescent="0.25">
      <c r="A124" s="1">
        <v>1014177</v>
      </c>
      <c r="B124" s="1" t="s">
        <v>137</v>
      </c>
      <c r="D124" s="2">
        <v>0</v>
      </c>
      <c r="E124" s="2" t="s">
        <v>85</v>
      </c>
      <c r="F124" s="2" t="s">
        <v>561</v>
      </c>
      <c r="G124" s="1" t="s">
        <v>786</v>
      </c>
      <c r="H124" s="2">
        <v>1</v>
      </c>
      <c r="I124" s="2">
        <v>7</v>
      </c>
      <c r="K124" s="40">
        <v>0</v>
      </c>
    </row>
    <row r="125" spans="1:11" x14ac:dyDescent="0.25">
      <c r="A125" s="1">
        <v>2271136</v>
      </c>
      <c r="B125" s="1" t="s">
        <v>535</v>
      </c>
      <c r="D125" s="2">
        <v>0</v>
      </c>
      <c r="E125" s="2" t="s">
        <v>0</v>
      </c>
      <c r="F125" s="2" t="s">
        <v>41</v>
      </c>
      <c r="G125" s="1" t="s">
        <v>1968</v>
      </c>
      <c r="H125" s="2">
        <v>1</v>
      </c>
      <c r="I125" s="2">
        <v>7</v>
      </c>
      <c r="J125" s="15">
        <v>0.81</v>
      </c>
      <c r="K125" s="40">
        <v>0</v>
      </c>
    </row>
    <row r="126" spans="1:11" x14ac:dyDescent="0.25">
      <c r="A126" s="1">
        <v>2271129</v>
      </c>
      <c r="B126" s="1" t="s">
        <v>532</v>
      </c>
      <c r="D126" s="2">
        <v>0</v>
      </c>
      <c r="E126" s="2" t="s">
        <v>0</v>
      </c>
      <c r="F126" s="2" t="s">
        <v>41</v>
      </c>
      <c r="G126" s="1" t="s">
        <v>1968</v>
      </c>
      <c r="H126" s="2">
        <v>1</v>
      </c>
      <c r="I126" s="2">
        <v>7</v>
      </c>
      <c r="J126" s="15">
        <v>0.31</v>
      </c>
      <c r="K126" s="40">
        <v>0</v>
      </c>
    </row>
    <row r="127" spans="1:11" x14ac:dyDescent="0.25">
      <c r="A127" s="1">
        <v>2271130</v>
      </c>
      <c r="B127" s="1" t="s">
        <v>533</v>
      </c>
      <c r="D127" s="2">
        <v>0</v>
      </c>
      <c r="E127" s="2" t="s">
        <v>0</v>
      </c>
      <c r="F127" s="2" t="s">
        <v>41</v>
      </c>
      <c r="G127" s="1" t="s">
        <v>1968</v>
      </c>
      <c r="H127" s="2">
        <v>1</v>
      </c>
      <c r="I127" s="2">
        <v>7</v>
      </c>
      <c r="J127" s="15">
        <v>0.49</v>
      </c>
      <c r="K127" s="40">
        <v>0</v>
      </c>
    </row>
    <row r="128" spans="1:11" x14ac:dyDescent="0.25">
      <c r="A128" s="1">
        <v>2271128</v>
      </c>
      <c r="B128" s="1" t="s">
        <v>531</v>
      </c>
      <c r="D128" s="2">
        <v>0</v>
      </c>
      <c r="E128" s="2" t="s">
        <v>0</v>
      </c>
      <c r="F128" s="2" t="s">
        <v>41</v>
      </c>
      <c r="G128" s="1" t="s">
        <v>1968</v>
      </c>
      <c r="H128" s="2">
        <v>1</v>
      </c>
      <c r="I128" s="2">
        <v>7</v>
      </c>
      <c r="J128" s="15">
        <v>0.36</v>
      </c>
      <c r="K128" s="40">
        <v>0</v>
      </c>
    </row>
    <row r="129" spans="1:11" x14ac:dyDescent="0.25">
      <c r="A129" s="1">
        <v>2271132</v>
      </c>
      <c r="B129" s="1" t="s">
        <v>534</v>
      </c>
      <c r="D129" s="2">
        <v>0</v>
      </c>
      <c r="E129" s="2" t="s">
        <v>0</v>
      </c>
      <c r="F129" s="2" t="s">
        <v>41</v>
      </c>
      <c r="G129" s="1" t="s">
        <v>1968</v>
      </c>
      <c r="H129" s="2">
        <v>1</v>
      </c>
      <c r="I129" s="2">
        <v>7</v>
      </c>
      <c r="J129" s="15">
        <v>0.65</v>
      </c>
      <c r="K129" s="40">
        <v>0</v>
      </c>
    </row>
    <row r="130" spans="1:11" x14ac:dyDescent="0.25">
      <c r="A130" s="1">
        <v>1059525</v>
      </c>
      <c r="B130" s="1" t="s">
        <v>138</v>
      </c>
      <c r="D130" s="2">
        <v>0</v>
      </c>
      <c r="E130" s="2" t="s">
        <v>56</v>
      </c>
      <c r="F130" s="2" t="s">
        <v>43</v>
      </c>
      <c r="G130" s="1" t="s">
        <v>1968</v>
      </c>
      <c r="H130" s="2">
        <v>1</v>
      </c>
      <c r="I130" s="2">
        <v>7</v>
      </c>
      <c r="J130" s="15">
        <v>80</v>
      </c>
      <c r="K130" s="40">
        <v>0</v>
      </c>
    </row>
    <row r="131" spans="1:11" x14ac:dyDescent="0.25">
      <c r="A131" s="1">
        <v>1060546</v>
      </c>
      <c r="B131" s="1" t="s">
        <v>139</v>
      </c>
      <c r="D131" s="2">
        <v>0</v>
      </c>
      <c r="E131" s="2" t="s">
        <v>0</v>
      </c>
      <c r="F131" s="2" t="s">
        <v>41</v>
      </c>
      <c r="G131" s="1" t="s">
        <v>1969</v>
      </c>
      <c r="H131" s="2">
        <v>1</v>
      </c>
      <c r="I131" s="2">
        <v>7</v>
      </c>
      <c r="J131" s="15">
        <v>1.83</v>
      </c>
      <c r="K131" s="40">
        <v>0</v>
      </c>
    </row>
    <row r="132" spans="1:11" x14ac:dyDescent="0.25">
      <c r="A132" s="1">
        <v>2370396</v>
      </c>
      <c r="B132" s="1" t="s">
        <v>559</v>
      </c>
      <c r="D132" s="2">
        <v>0</v>
      </c>
      <c r="E132" s="2" t="s">
        <v>0</v>
      </c>
      <c r="F132" s="2" t="s">
        <v>43</v>
      </c>
      <c r="G132" s="1" t="s">
        <v>1968</v>
      </c>
      <c r="H132" s="2">
        <v>1</v>
      </c>
      <c r="I132" s="2">
        <v>7</v>
      </c>
      <c r="J132" s="15">
        <v>1.25</v>
      </c>
      <c r="K132" s="40">
        <v>0</v>
      </c>
    </row>
    <row r="133" spans="1:11" x14ac:dyDescent="0.25">
      <c r="A133" s="1">
        <v>2275053</v>
      </c>
      <c r="B133" s="1" t="s">
        <v>140</v>
      </c>
      <c r="D133" s="2">
        <v>0</v>
      </c>
      <c r="E133" s="2" t="s">
        <v>0</v>
      </c>
      <c r="F133" s="2" t="s">
        <v>41</v>
      </c>
      <c r="G133" s="1" t="s">
        <v>1968</v>
      </c>
      <c r="H133" s="2">
        <v>1</v>
      </c>
      <c r="I133" s="2">
        <v>7</v>
      </c>
      <c r="J133" s="15">
        <v>1.1100000000000001</v>
      </c>
      <c r="K133" s="40">
        <v>0</v>
      </c>
    </row>
    <row r="134" spans="1:11" x14ac:dyDescent="0.25">
      <c r="A134" s="1">
        <v>2370395</v>
      </c>
      <c r="B134" s="1" t="s">
        <v>558</v>
      </c>
      <c r="D134" s="2">
        <v>0</v>
      </c>
      <c r="E134" s="2" t="s">
        <v>0</v>
      </c>
      <c r="F134" s="2" t="s">
        <v>43</v>
      </c>
      <c r="G134" s="1" t="s">
        <v>1968</v>
      </c>
      <c r="H134" s="2">
        <v>1</v>
      </c>
      <c r="I134" s="2">
        <v>7</v>
      </c>
      <c r="J134" s="15">
        <v>1.74</v>
      </c>
      <c r="K134" s="40">
        <v>0</v>
      </c>
    </row>
    <row r="135" spans="1:11" x14ac:dyDescent="0.25">
      <c r="A135" s="1">
        <v>1014176</v>
      </c>
      <c r="B135" s="1" t="s">
        <v>141</v>
      </c>
      <c r="D135" s="2">
        <v>0</v>
      </c>
      <c r="E135" s="2" t="s">
        <v>0</v>
      </c>
      <c r="F135" s="2" t="s">
        <v>561</v>
      </c>
      <c r="G135" s="1" t="s">
        <v>786</v>
      </c>
      <c r="H135" s="2">
        <v>1</v>
      </c>
      <c r="I135" s="2">
        <v>7</v>
      </c>
      <c r="K135" s="40">
        <v>0</v>
      </c>
    </row>
    <row r="136" spans="1:11" x14ac:dyDescent="0.25">
      <c r="A136" s="1">
        <v>1025458</v>
      </c>
      <c r="B136" s="1" t="s">
        <v>142</v>
      </c>
      <c r="D136" s="2">
        <v>0</v>
      </c>
      <c r="E136" s="2" t="s">
        <v>0</v>
      </c>
      <c r="F136" s="2" t="s">
        <v>40</v>
      </c>
      <c r="G136" s="1" t="s">
        <v>1968</v>
      </c>
      <c r="H136" s="2">
        <v>1</v>
      </c>
      <c r="I136" s="2">
        <v>7</v>
      </c>
      <c r="J136" s="15">
        <v>2.72</v>
      </c>
      <c r="K136" s="40">
        <v>0</v>
      </c>
    </row>
    <row r="137" spans="1:11" x14ac:dyDescent="0.25">
      <c r="A137" s="1">
        <v>1014611</v>
      </c>
      <c r="B137" s="1" t="s">
        <v>143</v>
      </c>
      <c r="D137" s="2">
        <v>0</v>
      </c>
      <c r="E137" s="2" t="s">
        <v>0</v>
      </c>
      <c r="F137" s="2" t="s">
        <v>41</v>
      </c>
      <c r="G137" s="1" t="s">
        <v>786</v>
      </c>
      <c r="H137" s="2">
        <v>1</v>
      </c>
      <c r="I137" s="2">
        <v>7</v>
      </c>
      <c r="K137" s="40">
        <v>0</v>
      </c>
    </row>
    <row r="138" spans="1:11" x14ac:dyDescent="0.25">
      <c r="A138" s="1">
        <v>2274003</v>
      </c>
      <c r="B138" s="1" t="s">
        <v>506</v>
      </c>
      <c r="D138" s="2">
        <v>0</v>
      </c>
      <c r="E138" s="2" t="s">
        <v>0</v>
      </c>
      <c r="F138" s="2" t="s">
        <v>43</v>
      </c>
      <c r="G138" s="1" t="s">
        <v>1968</v>
      </c>
      <c r="H138" s="2">
        <v>1</v>
      </c>
      <c r="I138" s="2">
        <v>7</v>
      </c>
      <c r="J138" s="15">
        <v>1.34</v>
      </c>
      <c r="K138" s="40">
        <v>0</v>
      </c>
    </row>
    <row r="139" spans="1:11" x14ac:dyDescent="0.25">
      <c r="A139" s="1">
        <v>2275461</v>
      </c>
      <c r="B139" s="1" t="s">
        <v>144</v>
      </c>
      <c r="D139" s="2">
        <v>0</v>
      </c>
      <c r="E139" s="2" t="s">
        <v>0</v>
      </c>
      <c r="F139" s="2" t="s">
        <v>40</v>
      </c>
      <c r="G139" s="1" t="s">
        <v>1968</v>
      </c>
      <c r="H139" s="2">
        <v>1</v>
      </c>
      <c r="I139" s="2">
        <v>7</v>
      </c>
      <c r="J139" s="15">
        <v>7.52</v>
      </c>
      <c r="K139" s="40">
        <v>0</v>
      </c>
    </row>
    <row r="140" spans="1:11" x14ac:dyDescent="0.25">
      <c r="A140" s="1">
        <v>2275930</v>
      </c>
      <c r="B140" s="1" t="s">
        <v>145</v>
      </c>
      <c r="D140" s="2">
        <v>0</v>
      </c>
      <c r="E140" s="2" t="s">
        <v>0</v>
      </c>
      <c r="F140" s="2" t="s">
        <v>41</v>
      </c>
      <c r="G140" s="1" t="s">
        <v>1968</v>
      </c>
      <c r="H140" s="2">
        <v>1</v>
      </c>
      <c r="I140" s="2">
        <v>7</v>
      </c>
      <c r="J140" s="15">
        <v>16.72</v>
      </c>
      <c r="K140" s="40">
        <v>0</v>
      </c>
    </row>
    <row r="141" spans="1:11" x14ac:dyDescent="0.25">
      <c r="A141" s="1">
        <v>2275300</v>
      </c>
      <c r="B141" s="1" t="s">
        <v>146</v>
      </c>
      <c r="D141" s="2">
        <v>0</v>
      </c>
      <c r="E141" s="2" t="s">
        <v>0</v>
      </c>
      <c r="F141" s="2" t="s">
        <v>41</v>
      </c>
      <c r="G141" s="1" t="s">
        <v>1968</v>
      </c>
      <c r="H141" s="2">
        <v>1</v>
      </c>
      <c r="I141" s="2">
        <v>7</v>
      </c>
      <c r="J141" s="15">
        <v>17.48</v>
      </c>
      <c r="K141" s="40">
        <v>0</v>
      </c>
    </row>
    <row r="142" spans="1:11" x14ac:dyDescent="0.25">
      <c r="A142" s="1">
        <v>2275903</v>
      </c>
      <c r="B142" s="1" t="s">
        <v>147</v>
      </c>
      <c r="D142" s="2">
        <v>0</v>
      </c>
      <c r="E142" s="2" t="s">
        <v>0</v>
      </c>
      <c r="F142" s="2" t="s">
        <v>41</v>
      </c>
      <c r="G142" s="1" t="s">
        <v>1968</v>
      </c>
      <c r="H142" s="2">
        <v>1</v>
      </c>
      <c r="I142" s="2">
        <v>7</v>
      </c>
      <c r="J142" s="15">
        <v>5.47</v>
      </c>
      <c r="K142" s="40">
        <v>0</v>
      </c>
    </row>
    <row r="143" spans="1:11" x14ac:dyDescent="0.25">
      <c r="A143" s="1">
        <v>2275904</v>
      </c>
      <c r="B143" s="1" t="s">
        <v>148</v>
      </c>
      <c r="D143" s="2">
        <v>0</v>
      </c>
      <c r="E143" s="2" t="s">
        <v>0</v>
      </c>
      <c r="F143" s="2" t="s">
        <v>41</v>
      </c>
      <c r="G143" s="1" t="s">
        <v>1968</v>
      </c>
      <c r="H143" s="2">
        <v>1</v>
      </c>
      <c r="I143" s="2">
        <v>7</v>
      </c>
      <c r="J143" s="15">
        <v>17.52</v>
      </c>
      <c r="K143" s="40">
        <v>0</v>
      </c>
    </row>
    <row r="144" spans="1:11" x14ac:dyDescent="0.25">
      <c r="A144" s="1">
        <v>5214388</v>
      </c>
      <c r="B144" s="1" t="s">
        <v>149</v>
      </c>
      <c r="D144" s="2">
        <v>0</v>
      </c>
      <c r="E144" s="2" t="s">
        <v>0</v>
      </c>
      <c r="F144" s="2" t="s">
        <v>42</v>
      </c>
      <c r="G144" s="1" t="s">
        <v>1968</v>
      </c>
      <c r="H144" s="2">
        <v>1</v>
      </c>
      <c r="I144" s="2">
        <v>7</v>
      </c>
      <c r="J144" s="15">
        <v>54.83</v>
      </c>
      <c r="K144" s="40">
        <v>0</v>
      </c>
    </row>
    <row r="145" spans="1:11" x14ac:dyDescent="0.25">
      <c r="A145" s="1">
        <v>1018432</v>
      </c>
      <c r="B145" s="1" t="s">
        <v>150</v>
      </c>
      <c r="D145" s="2">
        <v>0</v>
      </c>
      <c r="E145" s="2" t="s">
        <v>0</v>
      </c>
      <c r="F145" s="2" t="s">
        <v>42</v>
      </c>
      <c r="G145" s="1" t="s">
        <v>1968</v>
      </c>
      <c r="H145" s="2">
        <v>1</v>
      </c>
      <c r="I145" s="2">
        <v>7</v>
      </c>
      <c r="J145" s="15">
        <v>112.99</v>
      </c>
      <c r="K145" s="40">
        <v>0</v>
      </c>
    </row>
    <row r="146" spans="1:11" x14ac:dyDescent="0.25">
      <c r="A146" s="1">
        <v>6453813</v>
      </c>
      <c r="B146" s="1" t="s">
        <v>151</v>
      </c>
      <c r="D146" s="2">
        <v>0</v>
      </c>
      <c r="E146" s="2" t="s">
        <v>56</v>
      </c>
      <c r="F146" s="2" t="s">
        <v>42</v>
      </c>
      <c r="G146" s="1" t="s">
        <v>1968</v>
      </c>
      <c r="H146" s="2">
        <v>1</v>
      </c>
      <c r="I146" s="2">
        <v>7</v>
      </c>
      <c r="J146" s="15">
        <v>237.26</v>
      </c>
      <c r="K146" s="40">
        <v>0</v>
      </c>
    </row>
    <row r="147" spans="1:11" x14ac:dyDescent="0.25">
      <c r="A147" s="1">
        <v>5610179</v>
      </c>
      <c r="B147" s="1" t="s">
        <v>152</v>
      </c>
      <c r="D147" s="2">
        <v>0</v>
      </c>
      <c r="E147" s="2" t="s">
        <v>0</v>
      </c>
      <c r="F147" s="2" t="s">
        <v>561</v>
      </c>
      <c r="G147" s="1" t="s">
        <v>1968</v>
      </c>
      <c r="H147" s="2">
        <v>1</v>
      </c>
      <c r="I147" s="2">
        <v>7</v>
      </c>
      <c r="J147" s="15">
        <v>9.81</v>
      </c>
      <c r="K147" s="40">
        <v>0</v>
      </c>
    </row>
    <row r="148" spans="1:11" x14ac:dyDescent="0.25">
      <c r="A148" s="1">
        <v>1016798</v>
      </c>
      <c r="B148" s="1" t="s">
        <v>153</v>
      </c>
      <c r="D148" s="2">
        <v>0</v>
      </c>
      <c r="E148" s="2" t="s">
        <v>0</v>
      </c>
      <c r="F148" s="2" t="s">
        <v>42</v>
      </c>
      <c r="G148" s="1" t="s">
        <v>1968</v>
      </c>
      <c r="H148" s="2">
        <v>1</v>
      </c>
      <c r="I148" s="2">
        <v>7</v>
      </c>
      <c r="J148" s="15">
        <v>390.12</v>
      </c>
      <c r="K148" s="40">
        <v>0</v>
      </c>
    </row>
    <row r="149" spans="1:11" x14ac:dyDescent="0.25">
      <c r="A149" s="1">
        <v>1059121</v>
      </c>
      <c r="B149" s="1" t="s">
        <v>154</v>
      </c>
      <c r="D149" s="2">
        <v>0</v>
      </c>
      <c r="E149" s="2" t="s">
        <v>0</v>
      </c>
      <c r="F149" s="2" t="s">
        <v>561</v>
      </c>
      <c r="G149" s="1" t="s">
        <v>1968</v>
      </c>
      <c r="H149" s="2">
        <v>1</v>
      </c>
      <c r="I149" s="2">
        <v>7</v>
      </c>
      <c r="J149" s="15">
        <v>1013.31</v>
      </c>
      <c r="K149" s="40">
        <v>0</v>
      </c>
    </row>
    <row r="150" spans="1:11" x14ac:dyDescent="0.25">
      <c r="A150" s="1">
        <v>5630231</v>
      </c>
      <c r="B150" s="1" t="s">
        <v>155</v>
      </c>
      <c r="D150" s="2">
        <v>0</v>
      </c>
      <c r="E150" s="2" t="s">
        <v>131</v>
      </c>
      <c r="F150" s="2" t="s">
        <v>41</v>
      </c>
      <c r="G150" s="1" t="s">
        <v>1968</v>
      </c>
      <c r="H150" s="2">
        <v>1</v>
      </c>
      <c r="I150" s="2">
        <v>7</v>
      </c>
      <c r="J150" s="15">
        <v>9.0399999999999991</v>
      </c>
      <c r="K150" s="40">
        <v>0</v>
      </c>
    </row>
    <row r="151" spans="1:11" x14ac:dyDescent="0.25">
      <c r="A151" s="1">
        <v>1565837</v>
      </c>
      <c r="B151" s="1" t="s">
        <v>156</v>
      </c>
      <c r="D151" s="2">
        <v>0</v>
      </c>
      <c r="E151" s="2" t="s">
        <v>56</v>
      </c>
      <c r="F151" s="2" t="s">
        <v>561</v>
      </c>
      <c r="G151" s="1" t="s">
        <v>1968</v>
      </c>
      <c r="H151" s="2">
        <v>1</v>
      </c>
      <c r="I151" s="2">
        <v>7</v>
      </c>
      <c r="J151" s="15">
        <v>191.7</v>
      </c>
      <c r="K151" s="40">
        <v>0</v>
      </c>
    </row>
    <row r="152" spans="1:11" x14ac:dyDescent="0.25">
      <c r="A152" s="1">
        <v>1171292</v>
      </c>
      <c r="B152" s="1" t="s">
        <v>157</v>
      </c>
      <c r="D152" s="2">
        <v>0</v>
      </c>
      <c r="E152" s="2" t="s">
        <v>0</v>
      </c>
      <c r="F152" s="2" t="s">
        <v>561</v>
      </c>
      <c r="G152" s="1" t="s">
        <v>1968</v>
      </c>
      <c r="H152" s="2">
        <v>1</v>
      </c>
      <c r="I152" s="2">
        <v>7</v>
      </c>
      <c r="J152" s="15">
        <v>10.65</v>
      </c>
      <c r="K152" s="40">
        <v>0</v>
      </c>
    </row>
    <row r="153" spans="1:11" x14ac:dyDescent="0.25">
      <c r="A153" s="1">
        <v>1527291</v>
      </c>
      <c r="B153" s="1" t="s">
        <v>158</v>
      </c>
      <c r="D153" s="2">
        <v>0</v>
      </c>
      <c r="E153" s="2" t="s">
        <v>0</v>
      </c>
      <c r="F153" s="2" t="s">
        <v>43</v>
      </c>
      <c r="G153" s="1" t="s">
        <v>1969</v>
      </c>
      <c r="H153" s="2">
        <v>1</v>
      </c>
      <c r="I153" s="2">
        <v>7</v>
      </c>
      <c r="J153" s="15">
        <v>6.75</v>
      </c>
      <c r="K153" s="40">
        <v>0</v>
      </c>
    </row>
    <row r="154" spans="1:11" x14ac:dyDescent="0.25">
      <c r="A154" s="1">
        <v>1578778</v>
      </c>
      <c r="B154" s="1" t="s">
        <v>159</v>
      </c>
      <c r="D154" s="2">
        <v>0</v>
      </c>
      <c r="E154" s="2" t="s">
        <v>0</v>
      </c>
      <c r="F154" s="2" t="s">
        <v>561</v>
      </c>
      <c r="G154" s="1" t="s">
        <v>1968</v>
      </c>
      <c r="H154" s="2">
        <v>1</v>
      </c>
      <c r="I154" s="2">
        <v>7</v>
      </c>
      <c r="J154" s="15">
        <v>2.2400000000000002</v>
      </c>
      <c r="K154" s="40">
        <v>0</v>
      </c>
    </row>
    <row r="155" spans="1:11" x14ac:dyDescent="0.25">
      <c r="A155" s="1">
        <v>1025417</v>
      </c>
      <c r="B155" s="1" t="s">
        <v>524</v>
      </c>
      <c r="D155" s="2">
        <v>0</v>
      </c>
      <c r="E155" s="2" t="s">
        <v>0</v>
      </c>
      <c r="F155" s="2" t="s">
        <v>561</v>
      </c>
      <c r="G155" s="1" t="s">
        <v>1968</v>
      </c>
      <c r="H155" s="2">
        <v>1</v>
      </c>
      <c r="I155" s="2">
        <v>7</v>
      </c>
      <c r="J155" s="15">
        <v>17.89</v>
      </c>
      <c r="K155" s="40">
        <v>0</v>
      </c>
    </row>
    <row r="156" spans="1:11" x14ac:dyDescent="0.25">
      <c r="A156" s="1">
        <v>1548806</v>
      </c>
      <c r="B156" s="1" t="s">
        <v>160</v>
      </c>
      <c r="D156" s="2">
        <v>0</v>
      </c>
      <c r="E156" s="2" t="s">
        <v>0</v>
      </c>
      <c r="F156" s="2" t="s">
        <v>561</v>
      </c>
      <c r="G156" s="1" t="s">
        <v>786</v>
      </c>
      <c r="H156" s="2">
        <v>1</v>
      </c>
      <c r="I156" s="2">
        <v>7</v>
      </c>
      <c r="K156" s="40">
        <v>0</v>
      </c>
    </row>
    <row r="157" spans="1:11" x14ac:dyDescent="0.25">
      <c r="A157" s="1">
        <v>1214115</v>
      </c>
      <c r="B157" s="1" t="s">
        <v>161</v>
      </c>
      <c r="D157" s="2">
        <v>0</v>
      </c>
      <c r="E157" s="2" t="s">
        <v>162</v>
      </c>
      <c r="F157" s="2" t="s">
        <v>561</v>
      </c>
      <c r="G157" s="1" t="s">
        <v>1968</v>
      </c>
      <c r="H157" s="2">
        <v>1</v>
      </c>
      <c r="I157" s="2">
        <v>7</v>
      </c>
      <c r="J157" s="15">
        <v>177.05</v>
      </c>
      <c r="K157" s="40">
        <v>0</v>
      </c>
    </row>
    <row r="158" spans="1:11" x14ac:dyDescent="0.25">
      <c r="A158" s="1">
        <v>1093037</v>
      </c>
      <c r="B158" s="1" t="s">
        <v>163</v>
      </c>
      <c r="D158" s="2">
        <v>0</v>
      </c>
      <c r="E158" s="2" t="s">
        <v>56</v>
      </c>
      <c r="F158" s="2" t="s">
        <v>561</v>
      </c>
      <c r="G158" s="1" t="s">
        <v>1968</v>
      </c>
      <c r="H158" s="2">
        <v>1</v>
      </c>
      <c r="I158" s="2">
        <v>7</v>
      </c>
      <c r="J158" s="15">
        <v>244.2</v>
      </c>
      <c r="K158" s="40">
        <v>0</v>
      </c>
    </row>
    <row r="159" spans="1:11" x14ac:dyDescent="0.25">
      <c r="A159" s="1">
        <v>1987669</v>
      </c>
      <c r="B159" s="1" t="s">
        <v>164</v>
      </c>
      <c r="D159" s="2">
        <v>0</v>
      </c>
      <c r="E159" s="2" t="s">
        <v>0</v>
      </c>
      <c r="F159" s="2" t="s">
        <v>561</v>
      </c>
      <c r="G159" s="1" t="s">
        <v>1968</v>
      </c>
      <c r="H159" s="2">
        <v>1</v>
      </c>
      <c r="I159" s="2">
        <v>7</v>
      </c>
      <c r="J159" s="15">
        <v>9.18</v>
      </c>
      <c r="K159" s="40">
        <v>0</v>
      </c>
    </row>
    <row r="160" spans="1:11" x14ac:dyDescent="0.25">
      <c r="A160" s="1">
        <v>1820127</v>
      </c>
      <c r="B160" s="1" t="s">
        <v>165</v>
      </c>
      <c r="D160" s="2">
        <v>0</v>
      </c>
      <c r="E160" s="2" t="s">
        <v>0</v>
      </c>
      <c r="F160" s="2" t="s">
        <v>561</v>
      </c>
      <c r="G160" s="1" t="s">
        <v>1969</v>
      </c>
      <c r="H160" s="2">
        <v>1</v>
      </c>
      <c r="I160" s="2">
        <v>7</v>
      </c>
      <c r="J160" s="15">
        <v>2.11</v>
      </c>
      <c r="K160" s="40">
        <v>0</v>
      </c>
    </row>
    <row r="161" spans="1:11" x14ac:dyDescent="0.25">
      <c r="A161" s="1">
        <v>1987668</v>
      </c>
      <c r="B161" s="1" t="s">
        <v>166</v>
      </c>
      <c r="D161" s="2">
        <v>0</v>
      </c>
      <c r="E161" s="2" t="s">
        <v>0</v>
      </c>
      <c r="F161" s="2" t="s">
        <v>561</v>
      </c>
      <c r="G161" s="1" t="s">
        <v>1968</v>
      </c>
      <c r="H161" s="2">
        <v>1</v>
      </c>
      <c r="I161" s="2">
        <v>7</v>
      </c>
      <c r="J161" s="15">
        <v>6.37</v>
      </c>
      <c r="K161" s="40">
        <v>0</v>
      </c>
    </row>
    <row r="162" spans="1:11" x14ac:dyDescent="0.25">
      <c r="A162" s="1">
        <v>1987670</v>
      </c>
      <c r="B162" s="1" t="s">
        <v>167</v>
      </c>
      <c r="D162" s="2">
        <v>0</v>
      </c>
      <c r="E162" s="2" t="s">
        <v>0</v>
      </c>
      <c r="F162" s="2" t="s">
        <v>561</v>
      </c>
      <c r="G162" s="1" t="s">
        <v>1968</v>
      </c>
      <c r="H162" s="2">
        <v>1</v>
      </c>
      <c r="I162" s="2">
        <v>7</v>
      </c>
      <c r="J162" s="15">
        <v>11.73</v>
      </c>
      <c r="K162" s="40">
        <v>0</v>
      </c>
    </row>
    <row r="163" spans="1:11" x14ac:dyDescent="0.25">
      <c r="A163" s="1">
        <v>1987671</v>
      </c>
      <c r="B163" s="1" t="s">
        <v>168</v>
      </c>
      <c r="D163" s="2">
        <v>0</v>
      </c>
      <c r="E163" s="2" t="s">
        <v>0</v>
      </c>
      <c r="F163" s="2" t="s">
        <v>561</v>
      </c>
      <c r="G163" s="1" t="s">
        <v>1968</v>
      </c>
      <c r="H163" s="2">
        <v>1</v>
      </c>
      <c r="I163" s="2">
        <v>7</v>
      </c>
      <c r="J163" s="15">
        <v>42.54</v>
      </c>
      <c r="K163" s="40">
        <v>0</v>
      </c>
    </row>
    <row r="164" spans="1:11" x14ac:dyDescent="0.25">
      <c r="A164" s="1">
        <v>1540743</v>
      </c>
      <c r="B164" s="1" t="s">
        <v>169</v>
      </c>
      <c r="D164" s="2">
        <v>0</v>
      </c>
      <c r="E164" s="2" t="s">
        <v>56</v>
      </c>
      <c r="F164" s="2" t="s">
        <v>561</v>
      </c>
      <c r="G164" s="1" t="s">
        <v>1968</v>
      </c>
      <c r="H164" s="2">
        <v>1</v>
      </c>
      <c r="I164" s="2">
        <v>7</v>
      </c>
      <c r="K164" s="40">
        <v>0</v>
      </c>
    </row>
    <row r="165" spans="1:11" x14ac:dyDescent="0.25">
      <c r="A165" s="1">
        <v>1912195</v>
      </c>
      <c r="B165" s="1" t="s">
        <v>170</v>
      </c>
      <c r="D165" s="2">
        <v>0</v>
      </c>
      <c r="E165" s="2" t="s">
        <v>0</v>
      </c>
      <c r="F165" s="2" t="s">
        <v>561</v>
      </c>
      <c r="G165" s="1" t="s">
        <v>1968</v>
      </c>
      <c r="H165" s="2">
        <v>10</v>
      </c>
      <c r="I165" s="2">
        <v>7</v>
      </c>
      <c r="J165" s="15">
        <v>40.799999999999997</v>
      </c>
      <c r="K165" s="40">
        <v>0</v>
      </c>
    </row>
    <row r="166" spans="1:11" x14ac:dyDescent="0.25">
      <c r="A166" s="1">
        <v>1912194</v>
      </c>
      <c r="B166" s="1" t="s">
        <v>171</v>
      </c>
      <c r="D166" s="2">
        <v>0</v>
      </c>
      <c r="E166" s="2" t="s">
        <v>0</v>
      </c>
      <c r="F166" s="2" t="s">
        <v>561</v>
      </c>
      <c r="G166" s="1" t="s">
        <v>1968</v>
      </c>
      <c r="H166" s="2">
        <v>1</v>
      </c>
      <c r="I166" s="2">
        <v>7</v>
      </c>
      <c r="J166" s="15">
        <v>6.6</v>
      </c>
      <c r="K166" s="40">
        <v>0</v>
      </c>
    </row>
    <row r="167" spans="1:11" x14ac:dyDescent="0.25">
      <c r="A167" s="1">
        <v>1861700</v>
      </c>
      <c r="B167" s="1" t="s">
        <v>172</v>
      </c>
      <c r="D167" s="2">
        <v>0</v>
      </c>
      <c r="E167" s="2" t="s">
        <v>0</v>
      </c>
      <c r="F167" s="2" t="s">
        <v>561</v>
      </c>
      <c r="G167" s="1" t="s">
        <v>1968</v>
      </c>
      <c r="H167" s="2">
        <v>10</v>
      </c>
      <c r="I167" s="2">
        <v>7</v>
      </c>
      <c r="J167" s="15">
        <v>3.4</v>
      </c>
      <c r="K167" s="40">
        <v>0</v>
      </c>
    </row>
    <row r="168" spans="1:11" x14ac:dyDescent="0.25">
      <c r="A168" s="1">
        <v>1861699</v>
      </c>
      <c r="B168" s="1" t="s">
        <v>173</v>
      </c>
      <c r="D168" s="2">
        <v>0</v>
      </c>
      <c r="E168" s="2" t="s">
        <v>0</v>
      </c>
      <c r="F168" s="2" t="s">
        <v>561</v>
      </c>
      <c r="G168" s="1" t="s">
        <v>1968</v>
      </c>
      <c r="H168" s="2">
        <v>1</v>
      </c>
      <c r="I168" s="2">
        <v>7</v>
      </c>
      <c r="J168" s="15">
        <v>6.19</v>
      </c>
      <c r="K168" s="40">
        <v>0</v>
      </c>
    </row>
    <row r="169" spans="1:11" x14ac:dyDescent="0.25">
      <c r="A169" s="1">
        <v>1912193</v>
      </c>
      <c r="B169" s="1" t="s">
        <v>174</v>
      </c>
      <c r="D169" s="2">
        <v>0</v>
      </c>
      <c r="E169" s="2" t="s">
        <v>2</v>
      </c>
      <c r="F169" s="2" t="s">
        <v>561</v>
      </c>
      <c r="G169" s="1" t="s">
        <v>1968</v>
      </c>
      <c r="H169" s="2">
        <v>1</v>
      </c>
      <c r="I169" s="2">
        <v>7</v>
      </c>
      <c r="J169" s="15">
        <v>3.05</v>
      </c>
      <c r="K169" s="40">
        <v>0</v>
      </c>
    </row>
    <row r="170" spans="1:11" x14ac:dyDescent="0.25">
      <c r="A170" s="1">
        <v>1912192</v>
      </c>
      <c r="B170" s="1" t="s">
        <v>175</v>
      </c>
      <c r="D170" s="2">
        <v>0</v>
      </c>
      <c r="E170" s="2" t="s">
        <v>2</v>
      </c>
      <c r="F170" s="2" t="s">
        <v>561</v>
      </c>
      <c r="G170" s="1" t="s">
        <v>1968</v>
      </c>
      <c r="H170" s="2">
        <v>4000</v>
      </c>
      <c r="I170" s="2">
        <v>7</v>
      </c>
      <c r="J170" s="15">
        <v>3.15</v>
      </c>
      <c r="K170" s="40">
        <v>0</v>
      </c>
    </row>
    <row r="171" spans="1:11" x14ac:dyDescent="0.25">
      <c r="A171" s="1">
        <v>2052112</v>
      </c>
      <c r="B171" s="1" t="s">
        <v>633</v>
      </c>
      <c r="D171" s="2">
        <v>0</v>
      </c>
      <c r="E171" s="2" t="s">
        <v>0</v>
      </c>
      <c r="F171" s="2" t="s">
        <v>561</v>
      </c>
      <c r="G171" s="1" t="s">
        <v>1968</v>
      </c>
      <c r="H171" s="2">
        <v>1</v>
      </c>
      <c r="I171" s="2">
        <v>7</v>
      </c>
      <c r="J171" s="15">
        <v>15.41</v>
      </c>
      <c r="K171" s="40">
        <v>0</v>
      </c>
    </row>
    <row r="172" spans="1:11" x14ac:dyDescent="0.25">
      <c r="A172" s="1">
        <v>2124569</v>
      </c>
      <c r="B172" s="1" t="s">
        <v>176</v>
      </c>
      <c r="D172" s="2">
        <v>0</v>
      </c>
      <c r="E172" s="2" t="s">
        <v>39</v>
      </c>
      <c r="F172" s="2" t="s">
        <v>561</v>
      </c>
      <c r="G172" s="1" t="s">
        <v>1968</v>
      </c>
      <c r="H172" s="2">
        <v>750</v>
      </c>
      <c r="I172" s="2">
        <v>7</v>
      </c>
      <c r="J172" s="15">
        <v>2.0299999999999998</v>
      </c>
      <c r="K172" s="40">
        <v>0</v>
      </c>
    </row>
    <row r="173" spans="1:11" x14ac:dyDescent="0.25">
      <c r="A173" s="1">
        <v>2057758</v>
      </c>
      <c r="B173" s="1" t="s">
        <v>571</v>
      </c>
      <c r="D173" s="2">
        <v>0</v>
      </c>
      <c r="E173" s="2" t="s">
        <v>0</v>
      </c>
      <c r="F173" s="2" t="s">
        <v>561</v>
      </c>
      <c r="G173" s="1" t="s">
        <v>1968</v>
      </c>
      <c r="H173" s="2">
        <v>3000</v>
      </c>
      <c r="I173" s="2">
        <v>7</v>
      </c>
      <c r="J173" s="15">
        <v>2.0299999999999998</v>
      </c>
      <c r="K173" s="40">
        <v>0</v>
      </c>
    </row>
    <row r="174" spans="1:11" x14ac:dyDescent="0.25">
      <c r="A174" s="1">
        <v>1725561</v>
      </c>
      <c r="B174" s="1" t="s">
        <v>177</v>
      </c>
      <c r="D174" s="2">
        <v>0</v>
      </c>
      <c r="E174" s="2" t="s">
        <v>39</v>
      </c>
      <c r="F174" s="2" t="s">
        <v>561</v>
      </c>
      <c r="G174" s="1" t="s">
        <v>1968</v>
      </c>
      <c r="H174" s="2">
        <v>762</v>
      </c>
      <c r="I174" s="2">
        <v>7</v>
      </c>
      <c r="J174" s="15">
        <v>3.37</v>
      </c>
      <c r="K174" s="40">
        <v>0</v>
      </c>
    </row>
    <row r="175" spans="1:11" x14ac:dyDescent="0.25">
      <c r="A175" s="1">
        <v>1717000</v>
      </c>
      <c r="B175" s="1" t="s">
        <v>765</v>
      </c>
      <c r="D175" s="2">
        <v>0</v>
      </c>
      <c r="E175" s="2" t="s">
        <v>39</v>
      </c>
      <c r="F175" s="2" t="s">
        <v>561</v>
      </c>
      <c r="G175" s="1" t="s">
        <v>786</v>
      </c>
      <c r="H175" s="2">
        <v>1000</v>
      </c>
      <c r="I175" s="2">
        <v>14</v>
      </c>
      <c r="K175" s="40">
        <v>0</v>
      </c>
    </row>
    <row r="176" spans="1:11" x14ac:dyDescent="0.25">
      <c r="A176" s="1">
        <v>1746394</v>
      </c>
      <c r="B176" s="1" t="s">
        <v>178</v>
      </c>
      <c r="D176" s="2">
        <v>0</v>
      </c>
      <c r="E176" s="2" t="s">
        <v>39</v>
      </c>
      <c r="F176" s="2" t="s">
        <v>561</v>
      </c>
      <c r="G176" s="1" t="s">
        <v>1968</v>
      </c>
      <c r="H176" s="2">
        <v>300</v>
      </c>
      <c r="I176" s="2">
        <v>7</v>
      </c>
      <c r="J176" s="15">
        <v>7.37</v>
      </c>
      <c r="K176" s="40">
        <v>0</v>
      </c>
    </row>
    <row r="177" spans="1:11" x14ac:dyDescent="0.25">
      <c r="A177" s="1">
        <v>1727333</v>
      </c>
      <c r="B177" s="1" t="s">
        <v>179</v>
      </c>
      <c r="D177" s="2">
        <v>0</v>
      </c>
      <c r="E177" s="2" t="s">
        <v>39</v>
      </c>
      <c r="F177" s="2" t="s">
        <v>561</v>
      </c>
      <c r="G177" s="1" t="s">
        <v>1968</v>
      </c>
      <c r="H177" s="2">
        <v>200</v>
      </c>
      <c r="I177" s="2">
        <v>7</v>
      </c>
      <c r="J177" s="15">
        <v>12.15</v>
      </c>
      <c r="K177" s="40">
        <v>0</v>
      </c>
    </row>
    <row r="178" spans="1:11" x14ac:dyDescent="0.25">
      <c r="A178" s="1">
        <v>1229303</v>
      </c>
      <c r="B178" s="1" t="s">
        <v>180</v>
      </c>
      <c r="D178" s="2">
        <v>0</v>
      </c>
      <c r="E178" s="2" t="s">
        <v>39</v>
      </c>
      <c r="F178" s="2" t="s">
        <v>561</v>
      </c>
      <c r="G178" s="1" t="s">
        <v>1968</v>
      </c>
      <c r="H178" s="2">
        <v>400</v>
      </c>
      <c r="I178" s="2">
        <v>7</v>
      </c>
      <c r="J178" s="15">
        <v>20.52</v>
      </c>
      <c r="K178" s="40">
        <v>0</v>
      </c>
    </row>
    <row r="179" spans="1:11" x14ac:dyDescent="0.25">
      <c r="A179" s="1">
        <v>2066444</v>
      </c>
      <c r="B179" s="1" t="s">
        <v>181</v>
      </c>
      <c r="D179" s="2">
        <v>0</v>
      </c>
      <c r="E179" s="2" t="s">
        <v>0</v>
      </c>
      <c r="F179" s="2" t="s">
        <v>561</v>
      </c>
      <c r="G179" s="1" t="s">
        <v>1968</v>
      </c>
      <c r="H179" s="2">
        <v>1</v>
      </c>
      <c r="I179" s="2">
        <v>7</v>
      </c>
      <c r="J179" s="15">
        <v>141.44</v>
      </c>
      <c r="K179" s="40">
        <v>0</v>
      </c>
    </row>
    <row r="180" spans="1:11" x14ac:dyDescent="0.25">
      <c r="A180" s="1">
        <v>1912191</v>
      </c>
      <c r="B180" s="1" t="s">
        <v>182</v>
      </c>
      <c r="D180" s="2">
        <v>0</v>
      </c>
      <c r="E180" s="2" t="s">
        <v>2</v>
      </c>
      <c r="F180" s="2" t="s">
        <v>561</v>
      </c>
      <c r="G180" s="1" t="s">
        <v>1968</v>
      </c>
      <c r="H180" s="2">
        <v>1</v>
      </c>
      <c r="I180" s="2">
        <v>7</v>
      </c>
      <c r="K180" s="40">
        <v>0</v>
      </c>
    </row>
    <row r="181" spans="1:11" x14ac:dyDescent="0.25">
      <c r="A181" s="1">
        <v>2122161</v>
      </c>
      <c r="B181" s="1" t="s">
        <v>183</v>
      </c>
      <c r="D181" s="2">
        <v>0</v>
      </c>
      <c r="E181" s="2" t="s">
        <v>2</v>
      </c>
      <c r="F181" s="2" t="s">
        <v>561</v>
      </c>
      <c r="G181" s="1" t="s">
        <v>1968</v>
      </c>
      <c r="H181" s="2">
        <v>3000</v>
      </c>
      <c r="I181" s="2">
        <v>7</v>
      </c>
      <c r="J181" s="15">
        <v>0.48</v>
      </c>
      <c r="K181" s="40">
        <v>0</v>
      </c>
    </row>
    <row r="182" spans="1:11" x14ac:dyDescent="0.25">
      <c r="A182" s="1">
        <v>1017027</v>
      </c>
      <c r="B182" s="1" t="s">
        <v>184</v>
      </c>
      <c r="D182" s="2">
        <v>0</v>
      </c>
      <c r="E182" s="2" t="s">
        <v>0</v>
      </c>
      <c r="F182" s="2" t="s">
        <v>561</v>
      </c>
      <c r="G182" s="1" t="s">
        <v>1968</v>
      </c>
      <c r="H182" s="2">
        <v>1</v>
      </c>
      <c r="I182" s="2">
        <v>7</v>
      </c>
      <c r="J182" s="15">
        <v>7.46</v>
      </c>
      <c r="K182" s="40">
        <v>0</v>
      </c>
    </row>
    <row r="183" spans="1:11" x14ac:dyDescent="0.25">
      <c r="A183" s="1">
        <v>1056064</v>
      </c>
      <c r="B183" s="1" t="s">
        <v>185</v>
      </c>
      <c r="D183" s="2">
        <v>0</v>
      </c>
      <c r="E183" s="2" t="s">
        <v>0</v>
      </c>
      <c r="F183" s="2" t="s">
        <v>561</v>
      </c>
      <c r="G183" s="1" t="s">
        <v>1968</v>
      </c>
      <c r="H183" s="2">
        <v>1</v>
      </c>
      <c r="I183" s="2">
        <v>7</v>
      </c>
      <c r="J183" s="15">
        <v>15.75</v>
      </c>
      <c r="K183" s="40">
        <v>0</v>
      </c>
    </row>
    <row r="184" spans="1:11" x14ac:dyDescent="0.25">
      <c r="A184" s="1">
        <v>2206274</v>
      </c>
      <c r="B184" s="1" t="s">
        <v>513</v>
      </c>
      <c r="D184" s="2">
        <v>0</v>
      </c>
      <c r="E184" s="2" t="s">
        <v>0</v>
      </c>
      <c r="F184" s="2" t="s">
        <v>561</v>
      </c>
      <c r="G184" s="1" t="s">
        <v>1968</v>
      </c>
      <c r="H184" s="2">
        <v>1</v>
      </c>
      <c r="I184" s="2">
        <v>7</v>
      </c>
      <c r="J184" s="15">
        <v>18.579999999999998</v>
      </c>
      <c r="K184" s="40">
        <v>0</v>
      </c>
    </row>
    <row r="185" spans="1:11" x14ac:dyDescent="0.25">
      <c r="A185" s="1">
        <v>1056065</v>
      </c>
      <c r="B185" s="1" t="s">
        <v>186</v>
      </c>
      <c r="D185" s="2">
        <v>0</v>
      </c>
      <c r="E185" s="2" t="s">
        <v>0</v>
      </c>
      <c r="F185" s="2" t="s">
        <v>561</v>
      </c>
      <c r="G185" s="1" t="s">
        <v>1968</v>
      </c>
      <c r="H185" s="2">
        <v>1</v>
      </c>
      <c r="I185" s="2">
        <v>7</v>
      </c>
      <c r="J185" s="15">
        <v>12.94</v>
      </c>
      <c r="K185" s="40">
        <v>0</v>
      </c>
    </row>
    <row r="186" spans="1:11" x14ac:dyDescent="0.25">
      <c r="A186" s="1">
        <v>1056066</v>
      </c>
      <c r="B186" s="1" t="s">
        <v>187</v>
      </c>
      <c r="D186" s="2">
        <v>0</v>
      </c>
      <c r="E186" s="2" t="s">
        <v>0</v>
      </c>
      <c r="F186" s="2" t="s">
        <v>561</v>
      </c>
      <c r="G186" s="1" t="s">
        <v>1968</v>
      </c>
      <c r="H186" s="2">
        <v>1</v>
      </c>
      <c r="I186" s="2">
        <v>7</v>
      </c>
      <c r="J186" s="15">
        <v>15.73</v>
      </c>
      <c r="K186" s="40">
        <v>0</v>
      </c>
    </row>
    <row r="187" spans="1:11" x14ac:dyDescent="0.25">
      <c r="A187" s="1">
        <v>2252134</v>
      </c>
      <c r="B187" s="1" t="s">
        <v>188</v>
      </c>
      <c r="D187" s="2">
        <v>0</v>
      </c>
      <c r="E187" s="2" t="s">
        <v>0</v>
      </c>
      <c r="F187" s="2" t="s">
        <v>561</v>
      </c>
      <c r="G187" s="1" t="s">
        <v>1968</v>
      </c>
      <c r="H187" s="2">
        <v>1</v>
      </c>
      <c r="I187" s="2">
        <v>7</v>
      </c>
      <c r="J187" s="15">
        <v>3.4</v>
      </c>
      <c r="K187" s="40">
        <v>0</v>
      </c>
    </row>
    <row r="188" spans="1:11" x14ac:dyDescent="0.25">
      <c r="A188" s="1">
        <v>1069522</v>
      </c>
      <c r="B188" s="1" t="s">
        <v>189</v>
      </c>
      <c r="D188" s="2">
        <v>0</v>
      </c>
      <c r="E188" s="2" t="s">
        <v>0</v>
      </c>
      <c r="F188" s="2" t="s">
        <v>561</v>
      </c>
      <c r="G188" s="1" t="s">
        <v>1968</v>
      </c>
      <c r="H188" s="2">
        <v>1</v>
      </c>
      <c r="I188" s="2">
        <v>7</v>
      </c>
      <c r="J188" s="15">
        <v>1.22</v>
      </c>
      <c r="K188" s="40">
        <v>0</v>
      </c>
    </row>
    <row r="189" spans="1:11" x14ac:dyDescent="0.25">
      <c r="A189" s="1">
        <v>1025545</v>
      </c>
      <c r="B189" s="1" t="s">
        <v>507</v>
      </c>
      <c r="D189" s="2">
        <v>0</v>
      </c>
      <c r="E189" s="2" t="s">
        <v>0</v>
      </c>
      <c r="F189" s="2" t="s">
        <v>561</v>
      </c>
      <c r="G189" s="1" t="s">
        <v>1968</v>
      </c>
      <c r="H189" s="2">
        <v>1</v>
      </c>
      <c r="I189" s="2">
        <v>7</v>
      </c>
      <c r="J189" s="15">
        <v>3.62</v>
      </c>
      <c r="K189" s="40">
        <v>0</v>
      </c>
    </row>
    <row r="190" spans="1:11" x14ac:dyDescent="0.25">
      <c r="A190" s="1">
        <v>1027744</v>
      </c>
      <c r="B190" s="1" t="s">
        <v>190</v>
      </c>
      <c r="D190" s="2">
        <v>0</v>
      </c>
      <c r="E190" s="2" t="s">
        <v>0</v>
      </c>
      <c r="F190" s="2" t="s">
        <v>561</v>
      </c>
      <c r="G190" s="1" t="s">
        <v>1968</v>
      </c>
      <c r="H190" s="2">
        <v>1</v>
      </c>
      <c r="I190" s="2">
        <v>7</v>
      </c>
      <c r="J190" s="15">
        <v>5.36</v>
      </c>
      <c r="K190" s="40">
        <v>0</v>
      </c>
    </row>
    <row r="191" spans="1:11" x14ac:dyDescent="0.25">
      <c r="A191" s="1">
        <v>1354302</v>
      </c>
      <c r="B191" s="1" t="s">
        <v>568</v>
      </c>
      <c r="D191" s="2">
        <v>0</v>
      </c>
      <c r="E191" s="2" t="s">
        <v>0</v>
      </c>
      <c r="F191" s="2" t="s">
        <v>561</v>
      </c>
      <c r="G191" s="1" t="s">
        <v>786</v>
      </c>
      <c r="H191" s="2">
        <v>1</v>
      </c>
      <c r="I191" s="2">
        <v>7</v>
      </c>
      <c r="J191" s="15">
        <v>35.56</v>
      </c>
      <c r="K191" s="40">
        <v>0</v>
      </c>
    </row>
    <row r="192" spans="1:11" x14ac:dyDescent="0.25">
      <c r="A192" s="1">
        <v>1056073</v>
      </c>
      <c r="B192" s="1" t="s">
        <v>191</v>
      </c>
      <c r="D192" s="2">
        <v>0</v>
      </c>
      <c r="E192" s="2" t="s">
        <v>39</v>
      </c>
      <c r="F192" s="2" t="s">
        <v>561</v>
      </c>
      <c r="G192" s="1" t="s">
        <v>1968</v>
      </c>
      <c r="H192" s="2">
        <v>6</v>
      </c>
      <c r="I192" s="2">
        <v>7</v>
      </c>
      <c r="J192" s="15">
        <v>4.68</v>
      </c>
      <c r="K192" s="40">
        <v>0</v>
      </c>
    </row>
    <row r="193" spans="1:11" x14ac:dyDescent="0.25">
      <c r="A193" s="1">
        <v>1062075</v>
      </c>
      <c r="B193" s="1" t="s">
        <v>192</v>
      </c>
      <c r="D193" s="2">
        <v>0</v>
      </c>
      <c r="E193" s="2" t="s">
        <v>0</v>
      </c>
      <c r="F193" s="2" t="s">
        <v>561</v>
      </c>
      <c r="G193" s="1" t="s">
        <v>786</v>
      </c>
      <c r="H193" s="2">
        <v>1</v>
      </c>
      <c r="I193" s="2">
        <v>7</v>
      </c>
      <c r="K193" s="40">
        <v>0</v>
      </c>
    </row>
    <row r="194" spans="1:11" x14ac:dyDescent="0.25">
      <c r="A194" s="1">
        <v>2253002</v>
      </c>
      <c r="B194" s="1" t="s">
        <v>193</v>
      </c>
      <c r="D194" s="2">
        <v>0</v>
      </c>
      <c r="E194" s="2" t="s">
        <v>0</v>
      </c>
      <c r="F194" s="2" t="s">
        <v>561</v>
      </c>
      <c r="G194" s="1" t="s">
        <v>1968</v>
      </c>
      <c r="H194" s="2">
        <v>1</v>
      </c>
      <c r="I194" s="2">
        <v>7</v>
      </c>
      <c r="J194" s="15">
        <v>9.2899999999999991</v>
      </c>
      <c r="K194" s="40">
        <v>0</v>
      </c>
    </row>
    <row r="195" spans="1:11" x14ac:dyDescent="0.25">
      <c r="A195" s="1">
        <v>2252133</v>
      </c>
      <c r="B195" s="1" t="s">
        <v>194</v>
      </c>
      <c r="D195" s="2">
        <v>0</v>
      </c>
      <c r="E195" s="2" t="s">
        <v>0</v>
      </c>
      <c r="F195" s="2" t="s">
        <v>561</v>
      </c>
      <c r="G195" s="1" t="s">
        <v>1968</v>
      </c>
      <c r="H195" s="2">
        <v>1</v>
      </c>
      <c r="I195" s="2">
        <v>7</v>
      </c>
      <c r="J195" s="15">
        <v>2.44</v>
      </c>
      <c r="K195" s="40">
        <v>0</v>
      </c>
    </row>
    <row r="196" spans="1:11" x14ac:dyDescent="0.25">
      <c r="A196" s="1">
        <v>1017040</v>
      </c>
      <c r="B196" s="1" t="s">
        <v>195</v>
      </c>
      <c r="D196" s="2">
        <v>0</v>
      </c>
      <c r="E196" s="2" t="s">
        <v>0</v>
      </c>
      <c r="F196" s="2" t="s">
        <v>561</v>
      </c>
      <c r="G196" s="1" t="s">
        <v>1968</v>
      </c>
      <c r="H196" s="2">
        <v>1</v>
      </c>
      <c r="I196" s="2">
        <v>7</v>
      </c>
      <c r="J196" s="15">
        <v>0.34</v>
      </c>
      <c r="K196" s="40">
        <v>0</v>
      </c>
    </row>
    <row r="197" spans="1:11" x14ac:dyDescent="0.25">
      <c r="A197" s="1">
        <v>1461885</v>
      </c>
      <c r="B197" s="1" t="s">
        <v>739</v>
      </c>
      <c r="D197" s="2">
        <v>0</v>
      </c>
      <c r="E197" s="2" t="s">
        <v>2</v>
      </c>
      <c r="F197" s="2" t="s">
        <v>561</v>
      </c>
      <c r="G197" s="1" t="s">
        <v>786</v>
      </c>
      <c r="H197" s="2">
        <v>1</v>
      </c>
      <c r="I197" s="2">
        <v>14</v>
      </c>
      <c r="K197" s="40">
        <v>0</v>
      </c>
    </row>
    <row r="198" spans="1:11" x14ac:dyDescent="0.25">
      <c r="A198" s="1">
        <v>1062078</v>
      </c>
      <c r="B198" s="1" t="s">
        <v>196</v>
      </c>
      <c r="D198" s="2">
        <v>0</v>
      </c>
      <c r="E198" s="2" t="s">
        <v>39</v>
      </c>
      <c r="F198" s="2" t="s">
        <v>561</v>
      </c>
      <c r="G198" s="1" t="s">
        <v>1968</v>
      </c>
      <c r="H198" s="2">
        <v>6</v>
      </c>
      <c r="I198" s="2">
        <v>7</v>
      </c>
      <c r="J198" s="15">
        <v>1.91</v>
      </c>
      <c r="K198" s="40">
        <v>0</v>
      </c>
    </row>
    <row r="199" spans="1:11" x14ac:dyDescent="0.25">
      <c r="A199" s="1">
        <v>1018911</v>
      </c>
      <c r="B199" s="1" t="s">
        <v>197</v>
      </c>
      <c r="D199" s="2">
        <v>0</v>
      </c>
      <c r="E199" s="2" t="s">
        <v>0</v>
      </c>
      <c r="F199" s="2" t="s">
        <v>561</v>
      </c>
      <c r="G199" s="1" t="s">
        <v>1968</v>
      </c>
      <c r="H199" s="2">
        <v>1</v>
      </c>
      <c r="I199" s="2">
        <v>7</v>
      </c>
      <c r="J199" s="15">
        <v>4.25</v>
      </c>
      <c r="K199" s="40">
        <v>0</v>
      </c>
    </row>
    <row r="200" spans="1:11" x14ac:dyDescent="0.25">
      <c r="A200" s="1">
        <v>1017037</v>
      </c>
      <c r="B200" s="1" t="s">
        <v>515</v>
      </c>
      <c r="D200" s="2">
        <v>0</v>
      </c>
      <c r="E200" s="2" t="s">
        <v>0</v>
      </c>
      <c r="F200" s="2" t="s">
        <v>561</v>
      </c>
      <c r="G200" s="1" t="s">
        <v>1968</v>
      </c>
      <c r="H200" s="2">
        <v>1</v>
      </c>
      <c r="I200" s="2">
        <v>7</v>
      </c>
      <c r="J200" s="15">
        <v>70</v>
      </c>
      <c r="K200" s="40">
        <v>0</v>
      </c>
    </row>
    <row r="201" spans="1:11" x14ac:dyDescent="0.25">
      <c r="A201" s="1">
        <v>2117368</v>
      </c>
      <c r="B201" s="1" t="s">
        <v>540</v>
      </c>
      <c r="D201" s="2">
        <v>0</v>
      </c>
      <c r="E201" s="2" t="s">
        <v>0</v>
      </c>
      <c r="F201" s="2" t="s">
        <v>561</v>
      </c>
      <c r="G201" s="1" t="s">
        <v>1968</v>
      </c>
      <c r="H201" s="2">
        <v>1</v>
      </c>
      <c r="I201" s="2">
        <v>7</v>
      </c>
      <c r="J201" s="15">
        <v>1.89</v>
      </c>
      <c r="K201" s="40">
        <v>0</v>
      </c>
    </row>
    <row r="202" spans="1:11" x14ac:dyDescent="0.25">
      <c r="A202" s="1">
        <v>1062087</v>
      </c>
      <c r="B202" s="1" t="s">
        <v>198</v>
      </c>
      <c r="D202" s="2">
        <v>0</v>
      </c>
      <c r="E202" s="2" t="s">
        <v>0</v>
      </c>
      <c r="F202" s="2" t="s">
        <v>561</v>
      </c>
      <c r="G202" s="1" t="s">
        <v>1969</v>
      </c>
      <c r="H202" s="2">
        <v>1</v>
      </c>
      <c r="I202" s="2">
        <v>7</v>
      </c>
      <c r="J202" s="15">
        <v>5.95</v>
      </c>
      <c r="K202" s="40">
        <v>0</v>
      </c>
    </row>
    <row r="203" spans="1:11" x14ac:dyDescent="0.25">
      <c r="A203" s="1">
        <v>1202110</v>
      </c>
      <c r="B203" s="1" t="s">
        <v>199</v>
      </c>
      <c r="D203" s="2">
        <v>0</v>
      </c>
      <c r="E203" s="2" t="s">
        <v>0</v>
      </c>
      <c r="F203" s="2" t="s">
        <v>561</v>
      </c>
      <c r="G203" s="1" t="s">
        <v>786</v>
      </c>
      <c r="H203" s="2">
        <v>1</v>
      </c>
      <c r="I203" s="2">
        <v>7</v>
      </c>
      <c r="K203" s="40">
        <v>0</v>
      </c>
    </row>
    <row r="204" spans="1:11" x14ac:dyDescent="0.25">
      <c r="A204" s="1">
        <v>1032281</v>
      </c>
      <c r="B204" s="1" t="s">
        <v>200</v>
      </c>
      <c r="D204" s="2">
        <v>0</v>
      </c>
      <c r="E204" s="2" t="s">
        <v>0</v>
      </c>
      <c r="F204" s="2" t="s">
        <v>561</v>
      </c>
      <c r="G204" s="1" t="s">
        <v>1968</v>
      </c>
      <c r="H204" s="2">
        <v>1</v>
      </c>
      <c r="I204" s="2">
        <v>7</v>
      </c>
      <c r="J204" s="15">
        <v>16.93</v>
      </c>
      <c r="K204" s="40">
        <v>0</v>
      </c>
    </row>
    <row r="205" spans="1:11" x14ac:dyDescent="0.25">
      <c r="A205" s="1">
        <v>1229301</v>
      </c>
      <c r="B205" s="1" t="s">
        <v>201</v>
      </c>
      <c r="D205" s="2">
        <v>0</v>
      </c>
      <c r="E205" s="2" t="s">
        <v>39</v>
      </c>
      <c r="F205" s="2" t="s">
        <v>561</v>
      </c>
      <c r="G205" s="1" t="s">
        <v>1968</v>
      </c>
      <c r="H205" s="2">
        <v>6</v>
      </c>
      <c r="I205" s="2">
        <v>7</v>
      </c>
      <c r="J205" s="15">
        <v>14.71</v>
      </c>
      <c r="K205" s="40">
        <v>0</v>
      </c>
    </row>
    <row r="206" spans="1:11" x14ac:dyDescent="0.25">
      <c r="A206" s="1">
        <v>1202109</v>
      </c>
      <c r="B206" s="1" t="s">
        <v>202</v>
      </c>
      <c r="D206" s="2">
        <v>0</v>
      </c>
      <c r="E206" s="2" t="s">
        <v>0</v>
      </c>
      <c r="F206" s="2" t="s">
        <v>561</v>
      </c>
      <c r="G206" s="1" t="s">
        <v>1968</v>
      </c>
      <c r="H206" s="2">
        <v>1</v>
      </c>
      <c r="I206" s="2">
        <v>7</v>
      </c>
      <c r="J206" s="15">
        <v>2.13</v>
      </c>
      <c r="K206" s="40">
        <v>0</v>
      </c>
    </row>
    <row r="207" spans="1:11" x14ac:dyDescent="0.25">
      <c r="A207" s="1">
        <v>2376477</v>
      </c>
      <c r="B207" s="1" t="s">
        <v>588</v>
      </c>
      <c r="D207" s="2">
        <v>0</v>
      </c>
      <c r="E207" s="2" t="s">
        <v>0</v>
      </c>
      <c r="F207" s="2" t="s">
        <v>561</v>
      </c>
      <c r="G207" s="1" t="s">
        <v>1968</v>
      </c>
      <c r="H207" s="2">
        <v>1</v>
      </c>
      <c r="I207" s="2">
        <v>7</v>
      </c>
      <c r="J207" s="15">
        <v>33.450000000000003</v>
      </c>
      <c r="K207" s="40">
        <v>0</v>
      </c>
    </row>
    <row r="208" spans="1:11" x14ac:dyDescent="0.25">
      <c r="A208" s="1">
        <v>2376478</v>
      </c>
      <c r="B208" s="1" t="s">
        <v>589</v>
      </c>
      <c r="D208" s="2">
        <v>0</v>
      </c>
      <c r="E208" s="2" t="s">
        <v>0</v>
      </c>
      <c r="F208" s="2" t="s">
        <v>561</v>
      </c>
      <c r="G208" s="1" t="s">
        <v>1968</v>
      </c>
      <c r="H208" s="2">
        <v>1</v>
      </c>
      <c r="I208" s="2">
        <v>7</v>
      </c>
      <c r="J208" s="15">
        <v>8.81</v>
      </c>
      <c r="K208" s="40">
        <v>0</v>
      </c>
    </row>
    <row r="209" spans="1:11" x14ac:dyDescent="0.25">
      <c r="A209" s="1">
        <v>2376479</v>
      </c>
      <c r="B209" s="1" t="s">
        <v>590</v>
      </c>
      <c r="D209" s="2">
        <v>0</v>
      </c>
      <c r="E209" s="2" t="s">
        <v>0</v>
      </c>
      <c r="F209" s="2" t="s">
        <v>561</v>
      </c>
      <c r="G209" s="1" t="s">
        <v>1968</v>
      </c>
      <c r="H209" s="2">
        <v>1</v>
      </c>
      <c r="I209" s="2">
        <v>7</v>
      </c>
      <c r="J209" s="15">
        <v>70.41</v>
      </c>
      <c r="K209" s="40">
        <v>0</v>
      </c>
    </row>
    <row r="210" spans="1:11" x14ac:dyDescent="0.25">
      <c r="A210" s="1">
        <v>2376480</v>
      </c>
      <c r="B210" s="1" t="s">
        <v>591</v>
      </c>
      <c r="D210" s="2">
        <v>0</v>
      </c>
      <c r="E210" s="2" t="s">
        <v>0</v>
      </c>
      <c r="F210" s="2" t="s">
        <v>561</v>
      </c>
      <c r="G210" s="1" t="s">
        <v>1968</v>
      </c>
      <c r="H210" s="2">
        <v>1</v>
      </c>
      <c r="I210" s="2">
        <v>7</v>
      </c>
      <c r="J210" s="15">
        <v>15.85</v>
      </c>
      <c r="K210" s="40">
        <v>0</v>
      </c>
    </row>
    <row r="211" spans="1:11" x14ac:dyDescent="0.25">
      <c r="A211" s="1">
        <v>1249877</v>
      </c>
      <c r="B211" s="1" t="s">
        <v>203</v>
      </c>
      <c r="D211" s="2">
        <v>0</v>
      </c>
      <c r="E211" s="2" t="s">
        <v>0</v>
      </c>
      <c r="F211" s="2" t="s">
        <v>561</v>
      </c>
      <c r="G211" s="1" t="s">
        <v>1968</v>
      </c>
      <c r="H211" s="2">
        <v>1</v>
      </c>
      <c r="I211" s="2">
        <v>7</v>
      </c>
      <c r="J211" s="15">
        <v>1.47</v>
      </c>
      <c r="K211" s="40">
        <v>0</v>
      </c>
    </row>
    <row r="212" spans="1:11" x14ac:dyDescent="0.25">
      <c r="A212" s="1">
        <v>2081682</v>
      </c>
      <c r="B212" s="1" t="s">
        <v>204</v>
      </c>
      <c r="D212" s="2">
        <v>0</v>
      </c>
      <c r="E212" s="2" t="s">
        <v>0</v>
      </c>
      <c r="F212" s="2" t="s">
        <v>561</v>
      </c>
      <c r="G212" s="1" t="s">
        <v>1968</v>
      </c>
      <c r="H212" s="2">
        <v>1</v>
      </c>
      <c r="I212" s="2">
        <v>7</v>
      </c>
      <c r="J212" s="15">
        <v>49.98</v>
      </c>
      <c r="K212" s="40">
        <v>0</v>
      </c>
    </row>
    <row r="213" spans="1:11" x14ac:dyDescent="0.25">
      <c r="A213" s="1">
        <v>2081683</v>
      </c>
      <c r="B213" s="1" t="s">
        <v>205</v>
      </c>
      <c r="D213" s="2">
        <v>0</v>
      </c>
      <c r="E213" s="2" t="s">
        <v>0</v>
      </c>
      <c r="F213" s="2" t="s">
        <v>561</v>
      </c>
      <c r="G213" s="1" t="s">
        <v>1968</v>
      </c>
      <c r="H213" s="2">
        <v>1</v>
      </c>
      <c r="I213" s="2">
        <v>7</v>
      </c>
      <c r="J213" s="15">
        <v>60.86</v>
      </c>
      <c r="K213" s="40">
        <v>0</v>
      </c>
    </row>
    <row r="214" spans="1:11" x14ac:dyDescent="0.25">
      <c r="A214" s="1">
        <v>2126456</v>
      </c>
      <c r="B214" s="1" t="s">
        <v>560</v>
      </c>
      <c r="D214" s="2">
        <v>0</v>
      </c>
      <c r="E214" s="2" t="s">
        <v>0</v>
      </c>
      <c r="F214" s="2" t="s">
        <v>561</v>
      </c>
      <c r="G214" s="1" t="s">
        <v>1968</v>
      </c>
      <c r="H214" s="2">
        <v>1</v>
      </c>
      <c r="I214" s="2">
        <v>7</v>
      </c>
      <c r="J214" s="15">
        <v>66.75</v>
      </c>
      <c r="K214" s="40">
        <v>0</v>
      </c>
    </row>
    <row r="215" spans="1:11" x14ac:dyDescent="0.25">
      <c r="A215" s="1">
        <v>2081684</v>
      </c>
      <c r="B215" s="1" t="s">
        <v>206</v>
      </c>
      <c r="D215" s="2">
        <v>0</v>
      </c>
      <c r="E215" s="2" t="s">
        <v>0</v>
      </c>
      <c r="F215" s="2" t="s">
        <v>561</v>
      </c>
      <c r="G215" s="1" t="s">
        <v>1968</v>
      </c>
      <c r="H215" s="2">
        <v>1</v>
      </c>
      <c r="I215" s="2">
        <v>7</v>
      </c>
      <c r="J215" s="15">
        <v>5.65</v>
      </c>
      <c r="K215" s="40">
        <v>0</v>
      </c>
    </row>
    <row r="216" spans="1:11" x14ac:dyDescent="0.25">
      <c r="A216" s="1">
        <v>2081685</v>
      </c>
      <c r="B216" s="1" t="s">
        <v>207</v>
      </c>
      <c r="D216" s="2">
        <v>0</v>
      </c>
      <c r="E216" s="2" t="s">
        <v>0</v>
      </c>
      <c r="F216" s="2" t="s">
        <v>561</v>
      </c>
      <c r="G216" s="1" t="s">
        <v>1968</v>
      </c>
      <c r="H216" s="2">
        <v>1</v>
      </c>
      <c r="I216" s="2">
        <v>7</v>
      </c>
      <c r="J216" s="15">
        <v>5.65</v>
      </c>
      <c r="K216" s="40">
        <v>0</v>
      </c>
    </row>
    <row r="217" spans="1:11" x14ac:dyDescent="0.25">
      <c r="A217" s="1">
        <v>1124552</v>
      </c>
      <c r="B217" s="1" t="s">
        <v>208</v>
      </c>
      <c r="D217" s="2">
        <v>0</v>
      </c>
      <c r="E217" s="2" t="s">
        <v>0</v>
      </c>
      <c r="F217" s="2" t="s">
        <v>43</v>
      </c>
      <c r="G217" s="1" t="s">
        <v>1968</v>
      </c>
      <c r="H217" s="2">
        <v>1</v>
      </c>
      <c r="I217" s="2">
        <v>7</v>
      </c>
      <c r="J217" s="15">
        <v>4.3499999999999996</v>
      </c>
      <c r="K217" s="40">
        <v>0</v>
      </c>
    </row>
    <row r="218" spans="1:11" x14ac:dyDescent="0.25">
      <c r="A218" s="1">
        <v>1026052</v>
      </c>
      <c r="B218" s="1" t="s">
        <v>209</v>
      </c>
      <c r="D218" s="2">
        <v>0</v>
      </c>
      <c r="E218" s="2" t="s">
        <v>0</v>
      </c>
      <c r="F218" s="2" t="s">
        <v>42</v>
      </c>
      <c r="G218" s="1" t="s">
        <v>1968</v>
      </c>
      <c r="H218" s="2">
        <v>1</v>
      </c>
      <c r="I218" s="2">
        <v>7</v>
      </c>
      <c r="J218" s="15">
        <v>13.1</v>
      </c>
      <c r="K218" s="40">
        <v>0</v>
      </c>
    </row>
    <row r="219" spans="1:11" x14ac:dyDescent="0.25">
      <c r="A219" s="1">
        <v>2265624</v>
      </c>
      <c r="B219" s="1" t="s">
        <v>210</v>
      </c>
      <c r="D219" s="2">
        <v>0</v>
      </c>
      <c r="E219" s="2" t="s">
        <v>0</v>
      </c>
      <c r="F219" s="2" t="s">
        <v>40</v>
      </c>
      <c r="G219" s="1" t="s">
        <v>1968</v>
      </c>
      <c r="H219" s="2">
        <v>1</v>
      </c>
      <c r="I219" s="2">
        <v>7</v>
      </c>
      <c r="J219" s="15">
        <v>6.12</v>
      </c>
      <c r="K219" s="40">
        <v>0</v>
      </c>
    </row>
    <row r="220" spans="1:11" x14ac:dyDescent="0.25">
      <c r="A220" s="1">
        <v>2265633</v>
      </c>
      <c r="B220" s="1" t="s">
        <v>211</v>
      </c>
      <c r="D220" s="2">
        <v>0</v>
      </c>
      <c r="E220" s="2" t="s">
        <v>0</v>
      </c>
      <c r="F220" s="2" t="s">
        <v>40</v>
      </c>
      <c r="G220" s="1" t="s">
        <v>1968</v>
      </c>
      <c r="H220" s="2">
        <v>1</v>
      </c>
      <c r="I220" s="2">
        <v>7</v>
      </c>
      <c r="J220" s="15">
        <v>5.91</v>
      </c>
      <c r="K220" s="40">
        <v>0</v>
      </c>
    </row>
    <row r="221" spans="1:11" x14ac:dyDescent="0.25">
      <c r="A221" s="1">
        <v>2265636</v>
      </c>
      <c r="B221" s="1" t="s">
        <v>212</v>
      </c>
      <c r="D221" s="2">
        <v>0</v>
      </c>
      <c r="E221" s="2" t="s">
        <v>0</v>
      </c>
      <c r="F221" s="2" t="s">
        <v>40</v>
      </c>
      <c r="G221" s="1" t="s">
        <v>1968</v>
      </c>
      <c r="H221" s="2">
        <v>1</v>
      </c>
      <c r="I221" s="2">
        <v>7</v>
      </c>
      <c r="J221" s="15">
        <v>33.76</v>
      </c>
      <c r="K221" s="40">
        <v>0</v>
      </c>
    </row>
    <row r="222" spans="1:11" x14ac:dyDescent="0.25">
      <c r="A222" s="1">
        <v>2265625</v>
      </c>
      <c r="B222" s="1" t="s">
        <v>213</v>
      </c>
      <c r="D222" s="2">
        <v>0</v>
      </c>
      <c r="E222" s="2" t="s">
        <v>0</v>
      </c>
      <c r="F222" s="2" t="s">
        <v>40</v>
      </c>
      <c r="G222" s="1" t="s">
        <v>1968</v>
      </c>
      <c r="H222" s="2">
        <v>1</v>
      </c>
      <c r="I222" s="2">
        <v>7</v>
      </c>
      <c r="J222" s="15">
        <v>5.91</v>
      </c>
      <c r="K222" s="40">
        <v>0</v>
      </c>
    </row>
    <row r="223" spans="1:11" x14ac:dyDescent="0.25">
      <c r="A223" s="1">
        <v>2265628</v>
      </c>
      <c r="B223" s="1" t="s">
        <v>214</v>
      </c>
      <c r="D223" s="2">
        <v>0</v>
      </c>
      <c r="E223" s="2" t="s">
        <v>0</v>
      </c>
      <c r="F223" s="2" t="s">
        <v>40</v>
      </c>
      <c r="G223" s="1" t="s">
        <v>1968</v>
      </c>
      <c r="H223" s="2">
        <v>1</v>
      </c>
      <c r="I223" s="2">
        <v>7</v>
      </c>
      <c r="J223" s="15">
        <v>5.97</v>
      </c>
      <c r="K223" s="40">
        <v>0</v>
      </c>
    </row>
    <row r="224" spans="1:11" x14ac:dyDescent="0.25">
      <c r="A224" s="1">
        <v>2265626</v>
      </c>
      <c r="B224" s="1" t="s">
        <v>215</v>
      </c>
      <c r="D224" s="2">
        <v>0</v>
      </c>
      <c r="E224" s="2" t="s">
        <v>0</v>
      </c>
      <c r="F224" s="2" t="s">
        <v>40</v>
      </c>
      <c r="G224" s="1" t="s">
        <v>1968</v>
      </c>
      <c r="H224" s="2">
        <v>1</v>
      </c>
      <c r="I224" s="2">
        <v>7</v>
      </c>
      <c r="J224" s="15">
        <v>5.91</v>
      </c>
      <c r="K224" s="40">
        <v>0</v>
      </c>
    </row>
    <row r="225" spans="1:11" x14ac:dyDescent="0.25">
      <c r="A225" s="1">
        <v>2265635</v>
      </c>
      <c r="B225" s="1" t="s">
        <v>566</v>
      </c>
      <c r="D225" s="2">
        <v>0</v>
      </c>
      <c r="E225" s="2" t="s">
        <v>0</v>
      </c>
      <c r="F225" s="2" t="s">
        <v>40</v>
      </c>
      <c r="G225" s="1" t="s">
        <v>1968</v>
      </c>
      <c r="H225" s="2">
        <v>1</v>
      </c>
      <c r="I225" s="2">
        <v>7</v>
      </c>
      <c r="J225" s="15">
        <v>33.43</v>
      </c>
      <c r="K225" s="40">
        <v>0</v>
      </c>
    </row>
    <row r="226" spans="1:11" x14ac:dyDescent="0.25">
      <c r="A226" s="1">
        <v>2982076</v>
      </c>
      <c r="B226" s="1" t="s">
        <v>216</v>
      </c>
      <c r="D226" s="2">
        <v>0</v>
      </c>
      <c r="E226" s="2" t="s">
        <v>56</v>
      </c>
      <c r="F226" s="2" t="s">
        <v>42</v>
      </c>
      <c r="G226" s="1" t="s">
        <v>1968</v>
      </c>
      <c r="H226" s="2">
        <v>1</v>
      </c>
      <c r="I226" s="2">
        <v>7</v>
      </c>
      <c r="J226" s="15">
        <v>42.54</v>
      </c>
      <c r="K226" s="40">
        <v>0</v>
      </c>
    </row>
    <row r="227" spans="1:11" x14ac:dyDescent="0.25">
      <c r="A227" s="1">
        <v>2371855</v>
      </c>
      <c r="B227" s="1" t="s">
        <v>565</v>
      </c>
      <c r="D227" s="2">
        <v>0</v>
      </c>
      <c r="E227" s="2" t="s">
        <v>0</v>
      </c>
      <c r="F227" s="2" t="s">
        <v>40</v>
      </c>
      <c r="G227" s="1" t="s">
        <v>1968</v>
      </c>
      <c r="H227" s="2">
        <v>1</v>
      </c>
      <c r="I227" s="2">
        <v>7</v>
      </c>
      <c r="J227" s="15">
        <v>5.28</v>
      </c>
      <c r="K227" s="40">
        <v>0</v>
      </c>
    </row>
    <row r="228" spans="1:11" x14ac:dyDescent="0.25">
      <c r="A228" s="1">
        <v>1006788</v>
      </c>
      <c r="B228" s="1" t="s">
        <v>575</v>
      </c>
      <c r="D228" s="2">
        <v>0</v>
      </c>
      <c r="E228" s="2" t="s">
        <v>56</v>
      </c>
      <c r="F228" s="2" t="s">
        <v>42</v>
      </c>
      <c r="G228" s="1" t="s">
        <v>1968</v>
      </c>
      <c r="H228" s="2">
        <v>1</v>
      </c>
      <c r="I228" s="2">
        <v>7</v>
      </c>
      <c r="J228" s="15">
        <v>13.13</v>
      </c>
      <c r="K228" s="40">
        <v>0</v>
      </c>
    </row>
    <row r="229" spans="1:11" x14ac:dyDescent="0.25">
      <c r="A229" s="1">
        <v>1026053</v>
      </c>
      <c r="B229" s="1" t="s">
        <v>217</v>
      </c>
      <c r="D229" s="2">
        <v>0</v>
      </c>
      <c r="E229" s="2" t="s">
        <v>0</v>
      </c>
      <c r="F229" s="2" t="s">
        <v>42</v>
      </c>
      <c r="G229" s="1" t="s">
        <v>1968</v>
      </c>
      <c r="H229" s="2">
        <v>1</v>
      </c>
      <c r="I229" s="2">
        <v>7</v>
      </c>
      <c r="J229" s="15">
        <v>13.1</v>
      </c>
      <c r="K229" s="40">
        <v>0</v>
      </c>
    </row>
    <row r="230" spans="1:11" x14ac:dyDescent="0.25">
      <c r="A230" s="1">
        <v>1302578</v>
      </c>
      <c r="B230" s="1" t="s">
        <v>218</v>
      </c>
      <c r="D230" s="2">
        <v>0</v>
      </c>
      <c r="E230" s="2" t="s">
        <v>0</v>
      </c>
      <c r="F230" s="2" t="s">
        <v>42</v>
      </c>
      <c r="G230" s="1" t="s">
        <v>1968</v>
      </c>
      <c r="H230" s="2">
        <v>1</v>
      </c>
      <c r="I230" s="2">
        <v>7</v>
      </c>
      <c r="J230" s="15">
        <v>65.06</v>
      </c>
      <c r="K230" s="40">
        <v>0</v>
      </c>
    </row>
    <row r="231" spans="1:11" x14ac:dyDescent="0.25">
      <c r="A231" s="1">
        <v>1302579</v>
      </c>
      <c r="B231" s="1" t="s">
        <v>219</v>
      </c>
      <c r="D231" s="2">
        <v>0</v>
      </c>
      <c r="E231" s="2" t="s">
        <v>0</v>
      </c>
      <c r="F231" s="2" t="s">
        <v>42</v>
      </c>
      <c r="G231" s="1" t="s">
        <v>1968</v>
      </c>
      <c r="H231" s="2">
        <v>1</v>
      </c>
      <c r="I231" s="2">
        <v>7</v>
      </c>
      <c r="J231" s="15">
        <v>66.62</v>
      </c>
      <c r="K231" s="40">
        <v>0</v>
      </c>
    </row>
    <row r="232" spans="1:11" x14ac:dyDescent="0.25">
      <c r="A232" s="1">
        <v>1302582</v>
      </c>
      <c r="B232" s="1" t="s">
        <v>220</v>
      </c>
      <c r="D232" s="2">
        <v>0</v>
      </c>
      <c r="E232" s="2" t="s">
        <v>0</v>
      </c>
      <c r="F232" s="2" t="s">
        <v>42</v>
      </c>
      <c r="G232" s="1" t="s">
        <v>786</v>
      </c>
      <c r="H232" s="2">
        <v>1</v>
      </c>
      <c r="I232" s="2">
        <v>7</v>
      </c>
      <c r="K232" s="40">
        <v>0</v>
      </c>
    </row>
    <row r="233" spans="1:11" x14ac:dyDescent="0.25">
      <c r="A233" s="1">
        <v>1302577</v>
      </c>
      <c r="B233" s="1" t="s">
        <v>221</v>
      </c>
      <c r="D233" s="2">
        <v>0</v>
      </c>
      <c r="E233" s="2" t="s">
        <v>0</v>
      </c>
      <c r="F233" s="2" t="s">
        <v>42</v>
      </c>
      <c r="G233" s="1" t="s">
        <v>1968</v>
      </c>
      <c r="H233" s="2">
        <v>1</v>
      </c>
      <c r="I233" s="2">
        <v>7</v>
      </c>
      <c r="J233" s="15">
        <v>60.37</v>
      </c>
      <c r="K233" s="40">
        <v>0</v>
      </c>
    </row>
    <row r="234" spans="1:11" x14ac:dyDescent="0.25">
      <c r="A234" s="1">
        <v>1095641</v>
      </c>
      <c r="B234" s="1" t="s">
        <v>222</v>
      </c>
      <c r="D234" s="2">
        <v>0</v>
      </c>
      <c r="E234" s="2" t="s">
        <v>0</v>
      </c>
      <c r="F234" s="2" t="s">
        <v>42</v>
      </c>
      <c r="G234" s="1" t="s">
        <v>1968</v>
      </c>
      <c r="H234" s="2">
        <v>1</v>
      </c>
      <c r="I234" s="2">
        <v>7</v>
      </c>
      <c r="J234" s="15">
        <v>61.92</v>
      </c>
      <c r="K234" s="40">
        <v>0</v>
      </c>
    </row>
    <row r="235" spans="1:11" x14ac:dyDescent="0.25">
      <c r="A235" s="1">
        <v>1095646</v>
      </c>
      <c r="B235" s="1" t="s">
        <v>223</v>
      </c>
      <c r="D235" s="2">
        <v>0</v>
      </c>
      <c r="E235" s="2" t="s">
        <v>0</v>
      </c>
      <c r="F235" s="2" t="s">
        <v>42</v>
      </c>
      <c r="G235" s="1" t="s">
        <v>1968</v>
      </c>
      <c r="H235" s="2">
        <v>1</v>
      </c>
      <c r="I235" s="2">
        <v>7</v>
      </c>
      <c r="J235" s="15">
        <v>63.47</v>
      </c>
      <c r="K235" s="40">
        <v>0</v>
      </c>
    </row>
    <row r="236" spans="1:11" x14ac:dyDescent="0.25">
      <c r="A236" s="1">
        <v>1120909</v>
      </c>
      <c r="B236" s="1" t="s">
        <v>569</v>
      </c>
      <c r="D236" s="2">
        <v>0</v>
      </c>
      <c r="E236" s="2" t="s">
        <v>0</v>
      </c>
      <c r="F236" s="2" t="s">
        <v>42</v>
      </c>
      <c r="G236" s="1" t="s">
        <v>1968</v>
      </c>
      <c r="H236" s="2">
        <v>1</v>
      </c>
      <c r="I236" s="2">
        <v>7</v>
      </c>
      <c r="J236" s="15">
        <v>11.78</v>
      </c>
      <c r="K236" s="40">
        <v>0</v>
      </c>
    </row>
    <row r="237" spans="1:11" x14ac:dyDescent="0.25">
      <c r="A237" s="1">
        <v>1123642</v>
      </c>
      <c r="B237" s="1" t="s">
        <v>224</v>
      </c>
      <c r="D237" s="2">
        <v>0</v>
      </c>
      <c r="E237" s="2" t="s">
        <v>0</v>
      </c>
      <c r="F237" s="2" t="s">
        <v>42</v>
      </c>
      <c r="G237" s="1" t="s">
        <v>1968</v>
      </c>
      <c r="H237" s="2">
        <v>1</v>
      </c>
      <c r="I237" s="2">
        <v>7</v>
      </c>
      <c r="J237" s="15">
        <v>13.14</v>
      </c>
      <c r="K237" s="40">
        <v>0</v>
      </c>
    </row>
    <row r="238" spans="1:11" x14ac:dyDescent="0.25">
      <c r="A238" s="1">
        <v>1124341</v>
      </c>
      <c r="B238" s="1" t="s">
        <v>225</v>
      </c>
      <c r="D238" s="2">
        <v>0</v>
      </c>
      <c r="E238" s="2" t="s">
        <v>0</v>
      </c>
      <c r="F238" s="2" t="s">
        <v>42</v>
      </c>
      <c r="G238" s="1" t="s">
        <v>1968</v>
      </c>
      <c r="H238" s="2">
        <v>1</v>
      </c>
      <c r="I238" s="2">
        <v>7</v>
      </c>
      <c r="J238" s="15">
        <v>63.25</v>
      </c>
      <c r="K238" s="40">
        <v>0</v>
      </c>
    </row>
    <row r="239" spans="1:11" x14ac:dyDescent="0.25">
      <c r="A239" s="1">
        <v>1124342</v>
      </c>
      <c r="B239" s="1" t="s">
        <v>226</v>
      </c>
      <c r="D239" s="2">
        <v>0</v>
      </c>
      <c r="E239" s="2" t="s">
        <v>0</v>
      </c>
      <c r="F239" s="2" t="s">
        <v>42</v>
      </c>
      <c r="G239" s="1" t="s">
        <v>1968</v>
      </c>
      <c r="H239" s="2">
        <v>1</v>
      </c>
      <c r="I239" s="2">
        <v>7</v>
      </c>
      <c r="J239" s="15">
        <v>61.69</v>
      </c>
      <c r="K239" s="40">
        <v>0</v>
      </c>
    </row>
    <row r="240" spans="1:11" x14ac:dyDescent="0.25">
      <c r="A240" s="1">
        <v>1372697</v>
      </c>
      <c r="B240" s="1" t="s">
        <v>548</v>
      </c>
      <c r="D240" s="2">
        <v>0</v>
      </c>
      <c r="E240" s="2" t="s">
        <v>0</v>
      </c>
      <c r="F240" s="2" t="s">
        <v>42</v>
      </c>
      <c r="G240" s="1" t="s">
        <v>1968</v>
      </c>
      <c r="H240" s="2">
        <v>1</v>
      </c>
      <c r="I240" s="2">
        <v>7</v>
      </c>
      <c r="J240" s="15">
        <v>15.28</v>
      </c>
      <c r="K240" s="40">
        <v>0</v>
      </c>
    </row>
    <row r="241" spans="1:11" x14ac:dyDescent="0.25">
      <c r="A241" s="1">
        <v>2961061</v>
      </c>
      <c r="B241" s="1" t="s">
        <v>227</v>
      </c>
      <c r="D241" s="2">
        <v>0</v>
      </c>
      <c r="E241" s="2" t="s">
        <v>0</v>
      </c>
      <c r="F241" s="2" t="s">
        <v>561</v>
      </c>
      <c r="G241" s="1" t="s">
        <v>1968</v>
      </c>
      <c r="H241" s="2">
        <v>1</v>
      </c>
      <c r="I241" s="2">
        <v>7</v>
      </c>
      <c r="J241" s="15">
        <v>801.7</v>
      </c>
      <c r="K241" s="40">
        <v>0</v>
      </c>
    </row>
    <row r="242" spans="1:11" x14ac:dyDescent="0.25">
      <c r="A242" s="1">
        <v>6123195</v>
      </c>
      <c r="B242" s="1" t="s">
        <v>228</v>
      </c>
      <c r="D242" s="2">
        <v>0</v>
      </c>
      <c r="E242" s="2" t="s">
        <v>0</v>
      </c>
      <c r="F242" s="2" t="s">
        <v>41</v>
      </c>
      <c r="G242" s="1" t="s">
        <v>786</v>
      </c>
      <c r="H242" s="2">
        <v>1</v>
      </c>
      <c r="I242" s="2">
        <v>7</v>
      </c>
      <c r="J242" s="15">
        <v>42.32</v>
      </c>
      <c r="K242" s="40">
        <v>0</v>
      </c>
    </row>
    <row r="243" spans="1:11" x14ac:dyDescent="0.25">
      <c r="A243" s="1">
        <v>1290886</v>
      </c>
      <c r="B243" s="1" t="s">
        <v>549</v>
      </c>
      <c r="D243" s="2">
        <v>0</v>
      </c>
      <c r="E243" s="2" t="s">
        <v>0</v>
      </c>
      <c r="F243" s="2" t="s">
        <v>42</v>
      </c>
      <c r="G243" s="1" t="s">
        <v>786</v>
      </c>
      <c r="H243" s="2">
        <v>1</v>
      </c>
      <c r="I243" s="2">
        <v>7</v>
      </c>
      <c r="K243" s="40">
        <v>0</v>
      </c>
    </row>
    <row r="244" spans="1:11" x14ac:dyDescent="0.25">
      <c r="A244" s="1">
        <v>1290887</v>
      </c>
      <c r="B244" s="1" t="s">
        <v>550</v>
      </c>
      <c r="D244" s="2">
        <v>0</v>
      </c>
      <c r="E244" s="2" t="s">
        <v>0</v>
      </c>
      <c r="F244" s="2" t="s">
        <v>42</v>
      </c>
      <c r="G244" s="1" t="s">
        <v>786</v>
      </c>
      <c r="H244" s="2">
        <v>1</v>
      </c>
      <c r="I244" s="2">
        <v>7</v>
      </c>
      <c r="K244" s="40">
        <v>0</v>
      </c>
    </row>
    <row r="245" spans="1:11" x14ac:dyDescent="0.25">
      <c r="A245" s="1">
        <v>2243307</v>
      </c>
      <c r="B245" s="1" t="s">
        <v>541</v>
      </c>
      <c r="D245" s="2">
        <v>0</v>
      </c>
      <c r="E245" s="2" t="s">
        <v>0</v>
      </c>
      <c r="F245" s="2" t="s">
        <v>43</v>
      </c>
      <c r="G245" s="1" t="s">
        <v>1968</v>
      </c>
      <c r="H245" s="2">
        <v>1</v>
      </c>
      <c r="I245" s="2">
        <v>7</v>
      </c>
      <c r="J245" s="15">
        <v>1.53</v>
      </c>
      <c r="K245" s="40">
        <v>0</v>
      </c>
    </row>
    <row r="246" spans="1:11" x14ac:dyDescent="0.25">
      <c r="A246" s="1">
        <v>1127042</v>
      </c>
      <c r="B246" s="1" t="s">
        <v>516</v>
      </c>
      <c r="D246" s="2">
        <v>0</v>
      </c>
      <c r="E246" s="2" t="s">
        <v>131</v>
      </c>
      <c r="F246" s="2" t="s">
        <v>42</v>
      </c>
      <c r="G246" s="1" t="s">
        <v>1968</v>
      </c>
      <c r="H246" s="2">
        <v>1</v>
      </c>
      <c r="I246" s="2">
        <v>7</v>
      </c>
      <c r="J246" s="15">
        <v>1.56</v>
      </c>
      <c r="K246" s="40">
        <v>0</v>
      </c>
    </row>
    <row r="247" spans="1:11" x14ac:dyDescent="0.25">
      <c r="A247" s="1">
        <v>1127043</v>
      </c>
      <c r="B247" s="1" t="s">
        <v>517</v>
      </c>
      <c r="D247" s="2">
        <v>0</v>
      </c>
      <c r="E247" s="2" t="s">
        <v>131</v>
      </c>
      <c r="F247" s="2" t="s">
        <v>42</v>
      </c>
      <c r="G247" s="1" t="s">
        <v>1968</v>
      </c>
      <c r="H247" s="2">
        <v>1</v>
      </c>
      <c r="I247" s="2">
        <v>7</v>
      </c>
      <c r="J247" s="15">
        <v>1.56</v>
      </c>
      <c r="K247" s="40">
        <v>0</v>
      </c>
    </row>
    <row r="248" spans="1:11" x14ac:dyDescent="0.25">
      <c r="A248" s="1">
        <v>1127044</v>
      </c>
      <c r="B248" s="1" t="s">
        <v>518</v>
      </c>
      <c r="D248" s="2">
        <v>0</v>
      </c>
      <c r="E248" s="2" t="s">
        <v>131</v>
      </c>
      <c r="F248" s="2" t="s">
        <v>42</v>
      </c>
      <c r="G248" s="1" t="s">
        <v>1968</v>
      </c>
      <c r="H248" s="2">
        <v>1</v>
      </c>
      <c r="I248" s="2">
        <v>7</v>
      </c>
      <c r="J248" s="15">
        <v>1.56</v>
      </c>
      <c r="K248" s="40">
        <v>0</v>
      </c>
    </row>
    <row r="249" spans="1:11" x14ac:dyDescent="0.25">
      <c r="A249" s="1">
        <v>1127045</v>
      </c>
      <c r="B249" s="1" t="s">
        <v>519</v>
      </c>
      <c r="D249" s="2">
        <v>0</v>
      </c>
      <c r="E249" s="2" t="s">
        <v>131</v>
      </c>
      <c r="F249" s="2" t="s">
        <v>42</v>
      </c>
      <c r="G249" s="1" t="s">
        <v>1968</v>
      </c>
      <c r="H249" s="2">
        <v>1</v>
      </c>
      <c r="I249" s="2">
        <v>7</v>
      </c>
      <c r="J249" s="15">
        <v>1.56</v>
      </c>
      <c r="K249" s="40">
        <v>0</v>
      </c>
    </row>
    <row r="250" spans="1:11" x14ac:dyDescent="0.25">
      <c r="A250" s="1">
        <v>1127046</v>
      </c>
      <c r="B250" s="1" t="s">
        <v>520</v>
      </c>
      <c r="D250" s="2">
        <v>0</v>
      </c>
      <c r="E250" s="2" t="s">
        <v>131</v>
      </c>
      <c r="F250" s="2" t="s">
        <v>42</v>
      </c>
      <c r="G250" s="1" t="s">
        <v>1968</v>
      </c>
      <c r="H250" s="2">
        <v>1</v>
      </c>
      <c r="I250" s="2">
        <v>7</v>
      </c>
      <c r="J250" s="15">
        <v>1.56</v>
      </c>
      <c r="K250" s="40">
        <v>0</v>
      </c>
    </row>
    <row r="251" spans="1:11" x14ac:dyDescent="0.25">
      <c r="A251" s="1">
        <v>1127047</v>
      </c>
      <c r="B251" s="1" t="s">
        <v>521</v>
      </c>
      <c r="D251" s="2">
        <v>0</v>
      </c>
      <c r="E251" s="2" t="s">
        <v>131</v>
      </c>
      <c r="F251" s="2" t="s">
        <v>42</v>
      </c>
      <c r="G251" s="1" t="s">
        <v>1968</v>
      </c>
      <c r="H251" s="2">
        <v>1</v>
      </c>
      <c r="I251" s="2">
        <v>7</v>
      </c>
      <c r="J251" s="15">
        <v>1.56</v>
      </c>
      <c r="K251" s="40">
        <v>0</v>
      </c>
    </row>
    <row r="252" spans="1:11" x14ac:dyDescent="0.25">
      <c r="A252" s="1">
        <v>1127048</v>
      </c>
      <c r="B252" s="1" t="s">
        <v>522</v>
      </c>
      <c r="D252" s="2">
        <v>0</v>
      </c>
      <c r="E252" s="2" t="s">
        <v>131</v>
      </c>
      <c r="F252" s="2" t="s">
        <v>42</v>
      </c>
      <c r="G252" s="1" t="s">
        <v>1968</v>
      </c>
      <c r="H252" s="2">
        <v>1</v>
      </c>
      <c r="I252" s="2">
        <v>7</v>
      </c>
      <c r="J252" s="15">
        <v>1.56</v>
      </c>
      <c r="K252" s="40">
        <v>0</v>
      </c>
    </row>
    <row r="253" spans="1:11" x14ac:dyDescent="0.25">
      <c r="A253" s="1">
        <v>1125797</v>
      </c>
      <c r="B253" s="1" t="s">
        <v>229</v>
      </c>
      <c r="D253" s="2">
        <v>0</v>
      </c>
      <c r="E253" s="2" t="s">
        <v>131</v>
      </c>
      <c r="F253" s="2" t="s">
        <v>41</v>
      </c>
      <c r="G253" s="1" t="s">
        <v>1968</v>
      </c>
      <c r="H253" s="2">
        <v>1</v>
      </c>
      <c r="I253" s="2">
        <v>7</v>
      </c>
      <c r="J253" s="15">
        <v>1.56</v>
      </c>
      <c r="K253" s="40">
        <v>0</v>
      </c>
    </row>
    <row r="254" spans="1:11" x14ac:dyDescent="0.25">
      <c r="A254" s="1">
        <v>1125789</v>
      </c>
      <c r="B254" s="1" t="s">
        <v>230</v>
      </c>
      <c r="D254" s="2">
        <v>0</v>
      </c>
      <c r="E254" s="2" t="s">
        <v>131</v>
      </c>
      <c r="F254" s="2" t="s">
        <v>41</v>
      </c>
      <c r="G254" s="1" t="s">
        <v>1968</v>
      </c>
      <c r="H254" s="2">
        <v>1</v>
      </c>
      <c r="I254" s="2">
        <v>7</v>
      </c>
      <c r="J254" s="15">
        <v>1.56</v>
      </c>
      <c r="K254" s="40">
        <v>0</v>
      </c>
    </row>
    <row r="255" spans="1:11" x14ac:dyDescent="0.25">
      <c r="A255" s="1">
        <v>1125790</v>
      </c>
      <c r="B255" s="1" t="s">
        <v>231</v>
      </c>
      <c r="D255" s="2">
        <v>0</v>
      </c>
      <c r="E255" s="2" t="s">
        <v>131</v>
      </c>
      <c r="F255" s="2" t="s">
        <v>41</v>
      </c>
      <c r="G255" s="1" t="s">
        <v>1968</v>
      </c>
      <c r="H255" s="2">
        <v>1</v>
      </c>
      <c r="I255" s="2">
        <v>7</v>
      </c>
      <c r="J255" s="15">
        <v>1.56</v>
      </c>
      <c r="K255" s="40">
        <v>0</v>
      </c>
    </row>
    <row r="256" spans="1:11" x14ac:dyDescent="0.25">
      <c r="A256" s="1">
        <v>1125791</v>
      </c>
      <c r="B256" s="1" t="s">
        <v>232</v>
      </c>
      <c r="D256" s="2">
        <v>0</v>
      </c>
      <c r="E256" s="2" t="s">
        <v>131</v>
      </c>
      <c r="F256" s="2" t="s">
        <v>41</v>
      </c>
      <c r="G256" s="1" t="s">
        <v>1968</v>
      </c>
      <c r="H256" s="2">
        <v>1</v>
      </c>
      <c r="I256" s="2">
        <v>7</v>
      </c>
      <c r="J256" s="15">
        <v>1.56</v>
      </c>
      <c r="K256" s="40">
        <v>0</v>
      </c>
    </row>
    <row r="257" spans="1:11" x14ac:dyDescent="0.25">
      <c r="A257" s="1">
        <v>1125792</v>
      </c>
      <c r="B257" s="1" t="s">
        <v>233</v>
      </c>
      <c r="D257" s="2">
        <v>0</v>
      </c>
      <c r="E257" s="2" t="s">
        <v>131</v>
      </c>
      <c r="F257" s="2" t="s">
        <v>41</v>
      </c>
      <c r="G257" s="1" t="s">
        <v>1968</v>
      </c>
      <c r="H257" s="2">
        <v>1</v>
      </c>
      <c r="I257" s="2">
        <v>7</v>
      </c>
      <c r="J257" s="15">
        <v>1.56</v>
      </c>
      <c r="K257" s="40">
        <v>0</v>
      </c>
    </row>
    <row r="258" spans="1:11" x14ac:dyDescent="0.25">
      <c r="A258" s="1">
        <v>1125793</v>
      </c>
      <c r="B258" s="1" t="s">
        <v>234</v>
      </c>
      <c r="D258" s="2">
        <v>0</v>
      </c>
      <c r="E258" s="2" t="s">
        <v>131</v>
      </c>
      <c r="F258" s="2" t="s">
        <v>41</v>
      </c>
      <c r="G258" s="1" t="s">
        <v>1968</v>
      </c>
      <c r="H258" s="2">
        <v>1</v>
      </c>
      <c r="I258" s="2">
        <v>7</v>
      </c>
      <c r="J258" s="15">
        <v>1.56</v>
      </c>
      <c r="K258" s="40">
        <v>0</v>
      </c>
    </row>
    <row r="259" spans="1:11" x14ac:dyDescent="0.25">
      <c r="A259" s="1">
        <v>1125795</v>
      </c>
      <c r="B259" s="1" t="s">
        <v>235</v>
      </c>
      <c r="D259" s="2">
        <v>0</v>
      </c>
      <c r="E259" s="2" t="s">
        <v>131</v>
      </c>
      <c r="F259" s="2" t="s">
        <v>41</v>
      </c>
      <c r="G259" s="1" t="s">
        <v>1968</v>
      </c>
      <c r="H259" s="2">
        <v>1</v>
      </c>
      <c r="I259" s="2">
        <v>7</v>
      </c>
      <c r="J259" s="15">
        <v>1.56</v>
      </c>
      <c r="K259" s="40">
        <v>0</v>
      </c>
    </row>
    <row r="260" spans="1:11" x14ac:dyDescent="0.25">
      <c r="A260" s="1">
        <v>1125796</v>
      </c>
      <c r="B260" s="1" t="s">
        <v>236</v>
      </c>
      <c r="D260" s="2">
        <v>0</v>
      </c>
      <c r="E260" s="2" t="s">
        <v>131</v>
      </c>
      <c r="F260" s="2" t="s">
        <v>41</v>
      </c>
      <c r="G260" s="1" t="s">
        <v>1968</v>
      </c>
      <c r="H260" s="2">
        <v>1</v>
      </c>
      <c r="I260" s="2">
        <v>7</v>
      </c>
      <c r="J260" s="15">
        <v>1.56</v>
      </c>
      <c r="K260" s="40">
        <v>0</v>
      </c>
    </row>
    <row r="261" spans="1:11" x14ac:dyDescent="0.25">
      <c r="A261" s="1">
        <v>1125794</v>
      </c>
      <c r="B261" s="1" t="s">
        <v>237</v>
      </c>
      <c r="D261" s="2">
        <v>0</v>
      </c>
      <c r="E261" s="2" t="s">
        <v>131</v>
      </c>
      <c r="F261" s="2" t="s">
        <v>41</v>
      </c>
      <c r="G261" s="1" t="s">
        <v>1968</v>
      </c>
      <c r="H261" s="2">
        <v>1</v>
      </c>
      <c r="I261" s="2">
        <v>7</v>
      </c>
      <c r="J261" s="15">
        <v>1.56</v>
      </c>
      <c r="K261" s="40">
        <v>0</v>
      </c>
    </row>
    <row r="262" spans="1:11" x14ac:dyDescent="0.25">
      <c r="A262" s="1">
        <v>3217016</v>
      </c>
      <c r="B262" s="1" t="s">
        <v>238</v>
      </c>
      <c r="D262" s="2">
        <v>0</v>
      </c>
      <c r="E262" s="2" t="s">
        <v>131</v>
      </c>
      <c r="F262" s="2" t="s">
        <v>42</v>
      </c>
      <c r="G262" s="1" t="s">
        <v>1968</v>
      </c>
      <c r="H262" s="2">
        <v>1</v>
      </c>
      <c r="I262" s="2">
        <v>7</v>
      </c>
      <c r="J262" s="15">
        <v>2.09</v>
      </c>
      <c r="K262" s="40">
        <v>0</v>
      </c>
    </row>
    <row r="263" spans="1:11" x14ac:dyDescent="0.25">
      <c r="A263" s="1">
        <v>3217060</v>
      </c>
      <c r="B263" s="1" t="s">
        <v>239</v>
      </c>
      <c r="D263" s="2">
        <v>0</v>
      </c>
      <c r="E263" s="2" t="s">
        <v>131</v>
      </c>
      <c r="F263" s="2" t="s">
        <v>42</v>
      </c>
      <c r="G263" s="1" t="s">
        <v>1968</v>
      </c>
      <c r="H263" s="2">
        <v>1</v>
      </c>
      <c r="I263" s="2">
        <v>7</v>
      </c>
      <c r="J263" s="15">
        <v>2.09</v>
      </c>
      <c r="K263" s="40">
        <v>0</v>
      </c>
    </row>
    <row r="264" spans="1:11" x14ac:dyDescent="0.25">
      <c r="A264" s="1">
        <v>3217061</v>
      </c>
      <c r="B264" s="1" t="s">
        <v>240</v>
      </c>
      <c r="D264" s="2">
        <v>0</v>
      </c>
      <c r="E264" s="2" t="s">
        <v>131</v>
      </c>
      <c r="F264" s="2" t="s">
        <v>42</v>
      </c>
      <c r="G264" s="1" t="s">
        <v>1968</v>
      </c>
      <c r="H264" s="2">
        <v>1</v>
      </c>
      <c r="I264" s="2">
        <v>7</v>
      </c>
      <c r="J264" s="15">
        <v>2.09</v>
      </c>
      <c r="K264" s="40">
        <v>0</v>
      </c>
    </row>
    <row r="265" spans="1:11" x14ac:dyDescent="0.25">
      <c r="A265" s="1">
        <v>3217062</v>
      </c>
      <c r="B265" s="1" t="s">
        <v>241</v>
      </c>
      <c r="D265" s="2">
        <v>0</v>
      </c>
      <c r="E265" s="2" t="s">
        <v>131</v>
      </c>
      <c r="F265" s="2" t="s">
        <v>42</v>
      </c>
      <c r="G265" s="1" t="s">
        <v>1968</v>
      </c>
      <c r="H265" s="2">
        <v>1</v>
      </c>
      <c r="I265" s="2">
        <v>7</v>
      </c>
      <c r="J265" s="15">
        <v>2.09</v>
      </c>
      <c r="K265" s="40">
        <v>0</v>
      </c>
    </row>
    <row r="266" spans="1:11" x14ac:dyDescent="0.25">
      <c r="A266" s="1">
        <v>3217020</v>
      </c>
      <c r="B266" s="1" t="s">
        <v>242</v>
      </c>
      <c r="D266" s="2">
        <v>0</v>
      </c>
      <c r="E266" s="2" t="s">
        <v>131</v>
      </c>
      <c r="F266" s="2" t="s">
        <v>42</v>
      </c>
      <c r="G266" s="1" t="s">
        <v>1968</v>
      </c>
      <c r="H266" s="2">
        <v>1</v>
      </c>
      <c r="I266" s="2">
        <v>7</v>
      </c>
      <c r="J266" s="15">
        <v>2.09</v>
      </c>
      <c r="K266" s="40">
        <v>0</v>
      </c>
    </row>
    <row r="267" spans="1:11" x14ac:dyDescent="0.25">
      <c r="A267" s="1">
        <v>3217011</v>
      </c>
      <c r="B267" s="1" t="s">
        <v>243</v>
      </c>
      <c r="D267" s="2">
        <v>0</v>
      </c>
      <c r="E267" s="2" t="s">
        <v>131</v>
      </c>
      <c r="F267" s="2" t="s">
        <v>42</v>
      </c>
      <c r="G267" s="1" t="s">
        <v>1968</v>
      </c>
      <c r="H267" s="2">
        <v>1</v>
      </c>
      <c r="I267" s="2">
        <v>7</v>
      </c>
      <c r="J267" s="15">
        <v>2.09</v>
      </c>
      <c r="K267" s="40">
        <v>0</v>
      </c>
    </row>
    <row r="268" spans="1:11" x14ac:dyDescent="0.25">
      <c r="A268" s="1">
        <v>3217012</v>
      </c>
      <c r="B268" s="1" t="s">
        <v>244</v>
      </c>
      <c r="D268" s="2">
        <v>0</v>
      </c>
      <c r="E268" s="2" t="s">
        <v>131</v>
      </c>
      <c r="F268" s="2" t="s">
        <v>42</v>
      </c>
      <c r="G268" s="1" t="s">
        <v>1968</v>
      </c>
      <c r="H268" s="2">
        <v>1</v>
      </c>
      <c r="I268" s="2">
        <v>7</v>
      </c>
      <c r="J268" s="15">
        <v>2.09</v>
      </c>
      <c r="K268" s="40">
        <v>0</v>
      </c>
    </row>
    <row r="269" spans="1:11" x14ac:dyDescent="0.25">
      <c r="A269" s="1">
        <v>3217013</v>
      </c>
      <c r="B269" s="1" t="s">
        <v>245</v>
      </c>
      <c r="D269" s="2">
        <v>0</v>
      </c>
      <c r="E269" s="2" t="s">
        <v>131</v>
      </c>
      <c r="F269" s="2" t="s">
        <v>42</v>
      </c>
      <c r="G269" s="1" t="s">
        <v>1968</v>
      </c>
      <c r="H269" s="2">
        <v>1</v>
      </c>
      <c r="I269" s="2">
        <v>7</v>
      </c>
      <c r="J269" s="15">
        <v>2.09</v>
      </c>
      <c r="K269" s="40">
        <v>0</v>
      </c>
    </row>
    <row r="270" spans="1:11" x14ac:dyDescent="0.25">
      <c r="A270" s="1">
        <v>3217014</v>
      </c>
      <c r="B270" s="1" t="s">
        <v>246</v>
      </c>
      <c r="D270" s="2">
        <v>0</v>
      </c>
      <c r="E270" s="2" t="s">
        <v>131</v>
      </c>
      <c r="F270" s="2" t="s">
        <v>42</v>
      </c>
      <c r="G270" s="1" t="s">
        <v>1968</v>
      </c>
      <c r="H270" s="2">
        <v>1</v>
      </c>
      <c r="I270" s="2">
        <v>7</v>
      </c>
      <c r="J270" s="15">
        <v>2.09</v>
      </c>
      <c r="K270" s="40">
        <v>0</v>
      </c>
    </row>
    <row r="271" spans="1:11" x14ac:dyDescent="0.25">
      <c r="A271" s="1">
        <v>3217015</v>
      </c>
      <c r="B271" s="1" t="s">
        <v>247</v>
      </c>
      <c r="D271" s="2">
        <v>0</v>
      </c>
      <c r="E271" s="2" t="s">
        <v>131</v>
      </c>
      <c r="F271" s="2" t="s">
        <v>42</v>
      </c>
      <c r="G271" s="1" t="s">
        <v>1968</v>
      </c>
      <c r="H271" s="2">
        <v>1</v>
      </c>
      <c r="I271" s="2">
        <v>7</v>
      </c>
      <c r="J271" s="15">
        <v>2.09</v>
      </c>
      <c r="K271" s="40">
        <v>0</v>
      </c>
    </row>
    <row r="272" spans="1:11" x14ac:dyDescent="0.25">
      <c r="A272" s="1">
        <v>3217017</v>
      </c>
      <c r="B272" s="1" t="s">
        <v>248</v>
      </c>
      <c r="D272" s="2">
        <v>0</v>
      </c>
      <c r="E272" s="2" t="s">
        <v>131</v>
      </c>
      <c r="F272" s="2" t="s">
        <v>42</v>
      </c>
      <c r="G272" s="1" t="s">
        <v>1968</v>
      </c>
      <c r="H272" s="2">
        <v>1</v>
      </c>
      <c r="I272" s="2">
        <v>7</v>
      </c>
      <c r="J272" s="15">
        <v>2.09</v>
      </c>
      <c r="K272" s="40">
        <v>0</v>
      </c>
    </row>
    <row r="273" spans="1:11" x14ac:dyDescent="0.25">
      <c r="A273" s="1">
        <v>3217018</v>
      </c>
      <c r="B273" s="1" t="s">
        <v>249</v>
      </c>
      <c r="D273" s="2">
        <v>0</v>
      </c>
      <c r="E273" s="2" t="s">
        <v>131</v>
      </c>
      <c r="F273" s="2" t="s">
        <v>42</v>
      </c>
      <c r="G273" s="1" t="s">
        <v>1968</v>
      </c>
      <c r="H273" s="2">
        <v>1</v>
      </c>
      <c r="I273" s="2">
        <v>7</v>
      </c>
      <c r="J273" s="15">
        <v>2.09</v>
      </c>
      <c r="K273" s="40">
        <v>0</v>
      </c>
    </row>
    <row r="274" spans="1:11" x14ac:dyDescent="0.25">
      <c r="A274" s="1">
        <v>2982055</v>
      </c>
      <c r="B274" s="1" t="s">
        <v>250</v>
      </c>
      <c r="D274" s="2">
        <v>0</v>
      </c>
      <c r="E274" s="2" t="s">
        <v>131</v>
      </c>
      <c r="F274" s="2" t="s">
        <v>42</v>
      </c>
      <c r="G274" s="1" t="s">
        <v>1968</v>
      </c>
      <c r="H274" s="2">
        <v>1</v>
      </c>
      <c r="I274" s="2">
        <v>7</v>
      </c>
      <c r="J274" s="15">
        <v>129.54</v>
      </c>
      <c r="K274" s="40">
        <v>0</v>
      </c>
    </row>
    <row r="275" spans="1:11" x14ac:dyDescent="0.25">
      <c r="A275" s="1">
        <v>1026698</v>
      </c>
      <c r="B275" s="1" t="s">
        <v>251</v>
      </c>
      <c r="D275" s="2">
        <v>0</v>
      </c>
      <c r="E275" s="2" t="s">
        <v>252</v>
      </c>
      <c r="F275" s="2" t="s">
        <v>42</v>
      </c>
      <c r="G275" s="1" t="s">
        <v>786</v>
      </c>
      <c r="H275" s="2">
        <v>1</v>
      </c>
      <c r="I275" s="2">
        <v>7</v>
      </c>
      <c r="K275" s="40">
        <v>0</v>
      </c>
    </row>
    <row r="276" spans="1:11" x14ac:dyDescent="0.25">
      <c r="A276" s="1">
        <v>1684240</v>
      </c>
      <c r="B276" s="1" t="s">
        <v>253</v>
      </c>
      <c r="D276" s="2">
        <v>0</v>
      </c>
      <c r="E276" s="2" t="s">
        <v>0</v>
      </c>
      <c r="F276" s="2" t="s">
        <v>43</v>
      </c>
      <c r="G276" s="1" t="s">
        <v>1968</v>
      </c>
      <c r="H276" s="2">
        <v>1</v>
      </c>
      <c r="I276" s="2">
        <v>7</v>
      </c>
      <c r="J276" s="15">
        <v>46.19</v>
      </c>
      <c r="K276" s="40">
        <v>0</v>
      </c>
    </row>
    <row r="277" spans="1:11" x14ac:dyDescent="0.25">
      <c r="A277" s="1">
        <v>1684241</v>
      </c>
      <c r="B277" s="1" t="s">
        <v>254</v>
      </c>
      <c r="D277" s="2">
        <v>0</v>
      </c>
      <c r="E277" s="2" t="s">
        <v>0</v>
      </c>
      <c r="F277" s="2" t="s">
        <v>43</v>
      </c>
      <c r="G277" s="1" t="s">
        <v>1968</v>
      </c>
      <c r="H277" s="2">
        <v>1</v>
      </c>
      <c r="I277" s="2">
        <v>7</v>
      </c>
      <c r="J277" s="15">
        <v>82.38</v>
      </c>
      <c r="K277" s="40">
        <v>0</v>
      </c>
    </row>
    <row r="278" spans="1:11" x14ac:dyDescent="0.25">
      <c r="A278" s="1">
        <v>1684242</v>
      </c>
      <c r="B278" s="1" t="s">
        <v>255</v>
      </c>
      <c r="D278" s="2">
        <v>0</v>
      </c>
      <c r="E278" s="2" t="s">
        <v>0</v>
      </c>
      <c r="F278" s="2" t="s">
        <v>43</v>
      </c>
      <c r="G278" s="1" t="s">
        <v>1968</v>
      </c>
      <c r="H278" s="2">
        <v>1</v>
      </c>
      <c r="I278" s="2">
        <v>7</v>
      </c>
      <c r="J278" s="15">
        <v>118.28</v>
      </c>
      <c r="K278" s="40">
        <v>0</v>
      </c>
    </row>
    <row r="279" spans="1:11" x14ac:dyDescent="0.25">
      <c r="A279" s="1">
        <v>1684243</v>
      </c>
      <c r="B279" s="1" t="s">
        <v>256</v>
      </c>
      <c r="D279" s="2">
        <v>0</v>
      </c>
      <c r="E279" s="2" t="s">
        <v>0</v>
      </c>
      <c r="F279" s="2" t="s">
        <v>43</v>
      </c>
      <c r="G279" s="1" t="s">
        <v>1968</v>
      </c>
      <c r="H279" s="2">
        <v>1</v>
      </c>
      <c r="I279" s="2">
        <v>7</v>
      </c>
      <c r="J279" s="15">
        <v>314.95</v>
      </c>
      <c r="K279" s="40">
        <v>0</v>
      </c>
    </row>
    <row r="280" spans="1:11" x14ac:dyDescent="0.25">
      <c r="A280" s="1">
        <v>1923574</v>
      </c>
      <c r="B280" s="1" t="s">
        <v>257</v>
      </c>
      <c r="D280" s="2">
        <v>0</v>
      </c>
      <c r="E280" s="2" t="s">
        <v>0</v>
      </c>
      <c r="F280" s="2" t="s">
        <v>43</v>
      </c>
      <c r="G280" s="1" t="s">
        <v>1968</v>
      </c>
      <c r="H280" s="2">
        <v>1</v>
      </c>
      <c r="I280" s="2">
        <v>7</v>
      </c>
      <c r="J280" s="15">
        <v>161.03</v>
      </c>
      <c r="K280" s="40">
        <v>0</v>
      </c>
    </row>
    <row r="281" spans="1:11" x14ac:dyDescent="0.25">
      <c r="A281" s="1">
        <v>1808442</v>
      </c>
      <c r="B281" s="1" t="s">
        <v>258</v>
      </c>
      <c r="D281" s="2">
        <v>0</v>
      </c>
      <c r="E281" s="2" t="s">
        <v>0</v>
      </c>
      <c r="F281" s="2" t="s">
        <v>43</v>
      </c>
      <c r="G281" s="1" t="s">
        <v>1969</v>
      </c>
      <c r="H281" s="2">
        <v>1</v>
      </c>
      <c r="I281" s="2">
        <v>7</v>
      </c>
      <c r="J281" s="15">
        <v>29.19</v>
      </c>
      <c r="K281" s="40">
        <v>0</v>
      </c>
    </row>
    <row r="282" spans="1:11" x14ac:dyDescent="0.25">
      <c r="A282" s="1">
        <v>1991425</v>
      </c>
      <c r="B282" s="1" t="s">
        <v>259</v>
      </c>
      <c r="D282" s="2">
        <v>0</v>
      </c>
      <c r="E282" s="2" t="s">
        <v>0</v>
      </c>
      <c r="F282" s="2" t="s">
        <v>43</v>
      </c>
      <c r="G282" s="1" t="s">
        <v>1968</v>
      </c>
      <c r="H282" s="2">
        <v>1</v>
      </c>
      <c r="I282" s="2">
        <v>7</v>
      </c>
      <c r="J282" s="15">
        <v>221.66</v>
      </c>
      <c r="K282" s="40">
        <v>0</v>
      </c>
    </row>
    <row r="283" spans="1:11" x14ac:dyDescent="0.25">
      <c r="A283" s="1">
        <v>1808443</v>
      </c>
      <c r="B283" s="1" t="s">
        <v>260</v>
      </c>
      <c r="D283" s="2">
        <v>0</v>
      </c>
      <c r="E283" s="2" t="s">
        <v>0</v>
      </c>
      <c r="F283" s="2" t="s">
        <v>43</v>
      </c>
      <c r="G283" s="1" t="s">
        <v>1969</v>
      </c>
      <c r="H283" s="2">
        <v>1</v>
      </c>
      <c r="I283" s="2">
        <v>7</v>
      </c>
      <c r="J283" s="15">
        <v>34.35</v>
      </c>
      <c r="K283" s="40">
        <v>0</v>
      </c>
    </row>
    <row r="284" spans="1:11" x14ac:dyDescent="0.25">
      <c r="A284" s="1">
        <v>1991426</v>
      </c>
      <c r="B284" s="1" t="s">
        <v>261</v>
      </c>
      <c r="D284" s="2">
        <v>0</v>
      </c>
      <c r="E284" s="2" t="s">
        <v>0</v>
      </c>
      <c r="F284" s="2" t="s">
        <v>43</v>
      </c>
      <c r="G284" s="1" t="s">
        <v>786</v>
      </c>
      <c r="H284" s="2">
        <v>1</v>
      </c>
      <c r="I284" s="2">
        <v>7</v>
      </c>
      <c r="K284" s="40">
        <v>0</v>
      </c>
    </row>
    <row r="285" spans="1:11" x14ac:dyDescent="0.25">
      <c r="A285" s="1">
        <v>1168424</v>
      </c>
      <c r="B285" s="1" t="s">
        <v>262</v>
      </c>
      <c r="D285" s="2">
        <v>0</v>
      </c>
      <c r="E285" s="2" t="s">
        <v>0</v>
      </c>
      <c r="F285" s="2" t="s">
        <v>43</v>
      </c>
      <c r="G285" s="1" t="s">
        <v>786</v>
      </c>
      <c r="H285" s="2">
        <v>1</v>
      </c>
      <c r="I285" s="2">
        <v>7</v>
      </c>
      <c r="K285" s="40">
        <v>0</v>
      </c>
    </row>
    <row r="286" spans="1:11" x14ac:dyDescent="0.25">
      <c r="A286" s="1">
        <v>1168425</v>
      </c>
      <c r="B286" s="1" t="s">
        <v>263</v>
      </c>
      <c r="D286" s="2">
        <v>0</v>
      </c>
      <c r="E286" s="2" t="s">
        <v>0</v>
      </c>
      <c r="F286" s="2" t="s">
        <v>43</v>
      </c>
      <c r="G286" s="1" t="s">
        <v>786</v>
      </c>
      <c r="H286" s="2">
        <v>1</v>
      </c>
      <c r="I286" s="2">
        <v>7</v>
      </c>
      <c r="K286" s="40">
        <v>0</v>
      </c>
    </row>
    <row r="287" spans="1:11" x14ac:dyDescent="0.25">
      <c r="A287" s="1">
        <v>1168426</v>
      </c>
      <c r="B287" s="1" t="s">
        <v>264</v>
      </c>
      <c r="D287" s="2">
        <v>0</v>
      </c>
      <c r="E287" s="2" t="s">
        <v>0</v>
      </c>
      <c r="F287" s="2" t="s">
        <v>43</v>
      </c>
      <c r="G287" s="1" t="s">
        <v>786</v>
      </c>
      <c r="H287" s="2">
        <v>1</v>
      </c>
      <c r="I287" s="2">
        <v>7</v>
      </c>
      <c r="K287" s="40">
        <v>0</v>
      </c>
    </row>
    <row r="288" spans="1:11" x14ac:dyDescent="0.25">
      <c r="A288" s="1">
        <v>2372193</v>
      </c>
      <c r="B288" s="1" t="s">
        <v>265</v>
      </c>
      <c r="D288" s="2">
        <v>0</v>
      </c>
      <c r="E288" s="2" t="s">
        <v>56</v>
      </c>
      <c r="F288" s="2" t="s">
        <v>43</v>
      </c>
      <c r="G288" s="1" t="s">
        <v>1968</v>
      </c>
      <c r="H288" s="2">
        <v>1</v>
      </c>
      <c r="I288" s="2">
        <v>7</v>
      </c>
      <c r="J288" s="15">
        <v>267.97000000000003</v>
      </c>
      <c r="K288" s="40">
        <v>0</v>
      </c>
    </row>
    <row r="289" spans="1:11" x14ac:dyDescent="0.25">
      <c r="A289" s="1">
        <v>1168423</v>
      </c>
      <c r="B289" s="1" t="s">
        <v>266</v>
      </c>
      <c r="D289" s="2">
        <v>0</v>
      </c>
      <c r="E289" s="2" t="s">
        <v>0</v>
      </c>
      <c r="F289" s="2" t="s">
        <v>43</v>
      </c>
      <c r="G289" s="1" t="s">
        <v>786</v>
      </c>
      <c r="H289" s="2">
        <v>1</v>
      </c>
      <c r="I289" s="2">
        <v>7</v>
      </c>
      <c r="K289" s="40">
        <v>0</v>
      </c>
    </row>
    <row r="290" spans="1:11" x14ac:dyDescent="0.25">
      <c r="A290" s="1">
        <v>1159500</v>
      </c>
      <c r="B290" s="1" t="s">
        <v>267</v>
      </c>
      <c r="D290" s="2">
        <v>0</v>
      </c>
      <c r="E290" s="2" t="s">
        <v>0</v>
      </c>
      <c r="F290" s="2" t="s">
        <v>43</v>
      </c>
      <c r="G290" s="1" t="s">
        <v>786</v>
      </c>
      <c r="H290" s="2">
        <v>1</v>
      </c>
      <c r="I290" s="2">
        <v>7</v>
      </c>
      <c r="K290" s="40">
        <v>0</v>
      </c>
    </row>
    <row r="291" spans="1:11" x14ac:dyDescent="0.25">
      <c r="A291" s="1">
        <v>1159501</v>
      </c>
      <c r="B291" s="1" t="s">
        <v>268</v>
      </c>
      <c r="D291" s="2">
        <v>0</v>
      </c>
      <c r="E291" s="2" t="s">
        <v>0</v>
      </c>
      <c r="F291" s="2" t="s">
        <v>43</v>
      </c>
      <c r="G291" s="1" t="s">
        <v>786</v>
      </c>
      <c r="H291" s="2">
        <v>1</v>
      </c>
      <c r="I291" s="2">
        <v>7</v>
      </c>
      <c r="K291" s="40">
        <v>0</v>
      </c>
    </row>
    <row r="292" spans="1:11" x14ac:dyDescent="0.25">
      <c r="A292" s="1">
        <v>1159502</v>
      </c>
      <c r="B292" s="1" t="s">
        <v>269</v>
      </c>
      <c r="D292" s="2">
        <v>0</v>
      </c>
      <c r="E292" s="2" t="s">
        <v>0</v>
      </c>
      <c r="F292" s="2" t="s">
        <v>43</v>
      </c>
      <c r="G292" s="1" t="s">
        <v>786</v>
      </c>
      <c r="H292" s="2">
        <v>1</v>
      </c>
      <c r="I292" s="2">
        <v>7</v>
      </c>
      <c r="K292" s="40">
        <v>0</v>
      </c>
    </row>
    <row r="293" spans="1:11" x14ac:dyDescent="0.25">
      <c r="A293" s="1">
        <v>2348149</v>
      </c>
      <c r="B293" s="1" t="s">
        <v>270</v>
      </c>
      <c r="D293" s="2">
        <v>0</v>
      </c>
      <c r="E293" s="2" t="s">
        <v>0</v>
      </c>
      <c r="F293" s="2" t="s">
        <v>43</v>
      </c>
      <c r="G293" s="1" t="s">
        <v>1968</v>
      </c>
      <c r="H293" s="2">
        <v>1</v>
      </c>
      <c r="I293" s="2">
        <v>7</v>
      </c>
      <c r="J293" s="15">
        <v>143.68</v>
      </c>
      <c r="K293" s="40">
        <v>0</v>
      </c>
    </row>
    <row r="294" spans="1:11" x14ac:dyDescent="0.25">
      <c r="A294" s="1">
        <v>2348150</v>
      </c>
      <c r="B294" s="1" t="s">
        <v>271</v>
      </c>
      <c r="D294" s="2">
        <v>0</v>
      </c>
      <c r="E294" s="2" t="s">
        <v>0</v>
      </c>
      <c r="F294" s="2" t="s">
        <v>43</v>
      </c>
      <c r="G294" s="1" t="s">
        <v>1968</v>
      </c>
      <c r="H294" s="2">
        <v>1</v>
      </c>
      <c r="I294" s="2">
        <v>7</v>
      </c>
      <c r="J294" s="15">
        <v>208.99</v>
      </c>
      <c r="K294" s="40">
        <v>0</v>
      </c>
    </row>
    <row r="295" spans="1:11" x14ac:dyDescent="0.25">
      <c r="A295" s="1">
        <v>2348151</v>
      </c>
      <c r="B295" s="1" t="s">
        <v>272</v>
      </c>
      <c r="D295" s="2">
        <v>0</v>
      </c>
      <c r="E295" s="2" t="s">
        <v>0</v>
      </c>
      <c r="F295" s="2" t="s">
        <v>43</v>
      </c>
      <c r="G295" s="1" t="s">
        <v>1968</v>
      </c>
      <c r="H295" s="2">
        <v>1</v>
      </c>
      <c r="I295" s="2">
        <v>7</v>
      </c>
      <c r="J295" s="15">
        <v>278.06</v>
      </c>
      <c r="K295" s="40">
        <v>0</v>
      </c>
    </row>
    <row r="296" spans="1:11" x14ac:dyDescent="0.25">
      <c r="A296" s="1">
        <v>2348148</v>
      </c>
      <c r="B296" s="1" t="s">
        <v>273</v>
      </c>
      <c r="D296" s="2">
        <v>0</v>
      </c>
      <c r="E296" s="2" t="s">
        <v>0</v>
      </c>
      <c r="F296" s="2" t="s">
        <v>43</v>
      </c>
      <c r="G296" s="1" t="s">
        <v>1968</v>
      </c>
      <c r="H296" s="2">
        <v>1</v>
      </c>
      <c r="I296" s="2">
        <v>7</v>
      </c>
      <c r="J296" s="15">
        <v>82.8</v>
      </c>
      <c r="K296" s="40">
        <v>0</v>
      </c>
    </row>
    <row r="297" spans="1:11" x14ac:dyDescent="0.25">
      <c r="A297" s="1">
        <v>1473769</v>
      </c>
      <c r="B297" s="1" t="s">
        <v>274</v>
      </c>
      <c r="D297" s="2">
        <v>0</v>
      </c>
      <c r="E297" s="2" t="s">
        <v>0</v>
      </c>
      <c r="F297" s="2" t="s">
        <v>43</v>
      </c>
      <c r="G297" s="1" t="s">
        <v>1969</v>
      </c>
      <c r="H297" s="2">
        <v>1</v>
      </c>
      <c r="I297" s="2">
        <v>7</v>
      </c>
      <c r="J297" s="15">
        <v>92.08</v>
      </c>
      <c r="K297" s="40">
        <v>0</v>
      </c>
    </row>
    <row r="298" spans="1:11" x14ac:dyDescent="0.25">
      <c r="A298" s="1">
        <v>1473770</v>
      </c>
      <c r="B298" s="1" t="s">
        <v>275</v>
      </c>
      <c r="D298" s="2">
        <v>0</v>
      </c>
      <c r="E298" s="2" t="s">
        <v>0</v>
      </c>
      <c r="F298" s="2" t="s">
        <v>43</v>
      </c>
      <c r="G298" s="1" t="s">
        <v>786</v>
      </c>
      <c r="H298" s="2">
        <v>1</v>
      </c>
      <c r="I298" s="2">
        <v>7</v>
      </c>
      <c r="K298" s="40">
        <v>0</v>
      </c>
    </row>
    <row r="299" spans="1:11" x14ac:dyDescent="0.25">
      <c r="A299" s="1">
        <v>1473768</v>
      </c>
      <c r="B299" s="1" t="s">
        <v>276</v>
      </c>
      <c r="D299" s="2">
        <v>0</v>
      </c>
      <c r="E299" s="2" t="s">
        <v>0</v>
      </c>
      <c r="F299" s="2" t="s">
        <v>43</v>
      </c>
      <c r="G299" s="1" t="s">
        <v>786</v>
      </c>
      <c r="H299" s="2">
        <v>1</v>
      </c>
      <c r="I299" s="2">
        <v>7</v>
      </c>
      <c r="K299" s="40">
        <v>0</v>
      </c>
    </row>
    <row r="300" spans="1:11" x14ac:dyDescent="0.25">
      <c r="A300" s="1">
        <v>1127473</v>
      </c>
      <c r="B300" s="1" t="s">
        <v>277</v>
      </c>
      <c r="D300" s="2">
        <v>0</v>
      </c>
      <c r="E300" s="2" t="s">
        <v>0</v>
      </c>
      <c r="F300" s="2" t="s">
        <v>41</v>
      </c>
      <c r="G300" s="1" t="s">
        <v>786</v>
      </c>
      <c r="H300" s="2">
        <v>1</v>
      </c>
      <c r="I300" s="2">
        <v>7</v>
      </c>
      <c r="K300" s="40">
        <v>0</v>
      </c>
    </row>
    <row r="301" spans="1:11" x14ac:dyDescent="0.25">
      <c r="A301" s="1">
        <v>2214427</v>
      </c>
      <c r="B301" s="1" t="s">
        <v>278</v>
      </c>
      <c r="D301" s="2">
        <v>0</v>
      </c>
      <c r="E301" s="2" t="s">
        <v>0</v>
      </c>
      <c r="F301" s="2" t="s">
        <v>40</v>
      </c>
      <c r="G301" s="1" t="s">
        <v>1968</v>
      </c>
      <c r="H301" s="2">
        <v>1</v>
      </c>
      <c r="I301" s="2">
        <v>7</v>
      </c>
      <c r="J301" s="15">
        <v>19.899999999999999</v>
      </c>
      <c r="K301" s="40">
        <v>0</v>
      </c>
    </row>
    <row r="302" spans="1:11" x14ac:dyDescent="0.25">
      <c r="A302" s="1">
        <v>2214422</v>
      </c>
      <c r="B302" s="1" t="s">
        <v>279</v>
      </c>
      <c r="D302" s="2">
        <v>0</v>
      </c>
      <c r="E302" s="2" t="s">
        <v>0</v>
      </c>
      <c r="F302" s="2" t="s">
        <v>40</v>
      </c>
      <c r="G302" s="1" t="s">
        <v>1968</v>
      </c>
      <c r="H302" s="2">
        <v>1</v>
      </c>
      <c r="I302" s="2">
        <v>7</v>
      </c>
      <c r="J302" s="15">
        <v>41.51</v>
      </c>
      <c r="K302" s="40">
        <v>0</v>
      </c>
    </row>
    <row r="303" spans="1:11" x14ac:dyDescent="0.25">
      <c r="A303" s="1">
        <v>2214423</v>
      </c>
      <c r="B303" s="1" t="s">
        <v>280</v>
      </c>
      <c r="D303" s="2">
        <v>0</v>
      </c>
      <c r="E303" s="2" t="s">
        <v>0</v>
      </c>
      <c r="F303" s="2" t="s">
        <v>40</v>
      </c>
      <c r="G303" s="1" t="s">
        <v>1968</v>
      </c>
      <c r="H303" s="2">
        <v>1</v>
      </c>
      <c r="I303" s="2">
        <v>7</v>
      </c>
      <c r="J303" s="15">
        <v>42.37</v>
      </c>
      <c r="K303" s="40">
        <v>0</v>
      </c>
    </row>
    <row r="304" spans="1:11" x14ac:dyDescent="0.25">
      <c r="A304" s="1">
        <v>2214424</v>
      </c>
      <c r="B304" s="1" t="s">
        <v>281</v>
      </c>
      <c r="D304" s="2">
        <v>0</v>
      </c>
      <c r="E304" s="2" t="s">
        <v>0</v>
      </c>
      <c r="F304" s="2" t="s">
        <v>40</v>
      </c>
      <c r="G304" s="1" t="s">
        <v>1968</v>
      </c>
      <c r="H304" s="2">
        <v>1</v>
      </c>
      <c r="I304" s="2">
        <v>7</v>
      </c>
      <c r="J304" s="15">
        <v>46.54</v>
      </c>
      <c r="K304" s="40">
        <v>0</v>
      </c>
    </row>
    <row r="305" spans="1:11" x14ac:dyDescent="0.25">
      <c r="A305" s="1">
        <v>2214425</v>
      </c>
      <c r="B305" s="1" t="s">
        <v>282</v>
      </c>
      <c r="D305" s="2">
        <v>0</v>
      </c>
      <c r="E305" s="2" t="s">
        <v>0</v>
      </c>
      <c r="F305" s="2" t="s">
        <v>40</v>
      </c>
      <c r="G305" s="1" t="s">
        <v>1968</v>
      </c>
      <c r="H305" s="2">
        <v>1</v>
      </c>
      <c r="I305" s="2">
        <v>7</v>
      </c>
      <c r="J305" s="15">
        <v>46.54</v>
      </c>
      <c r="K305" s="40">
        <v>0</v>
      </c>
    </row>
    <row r="306" spans="1:11" x14ac:dyDescent="0.25">
      <c r="A306" s="1">
        <v>2166011</v>
      </c>
      <c r="B306" s="1" t="s">
        <v>573</v>
      </c>
      <c r="D306" s="2">
        <v>0</v>
      </c>
      <c r="E306" s="2" t="s">
        <v>131</v>
      </c>
      <c r="F306" s="2" t="s">
        <v>40</v>
      </c>
      <c r="G306" s="1" t="s">
        <v>1968</v>
      </c>
      <c r="H306" s="2">
        <v>1</v>
      </c>
      <c r="I306" s="2">
        <v>7</v>
      </c>
      <c r="J306" s="15">
        <v>198.32</v>
      </c>
      <c r="K306" s="40">
        <v>0</v>
      </c>
    </row>
    <row r="307" spans="1:11" x14ac:dyDescent="0.25">
      <c r="A307" s="1">
        <v>1929286</v>
      </c>
      <c r="B307" s="1" t="s">
        <v>36</v>
      </c>
      <c r="D307" s="2">
        <v>0</v>
      </c>
      <c r="E307" s="2" t="s">
        <v>0</v>
      </c>
      <c r="F307" s="2" t="s">
        <v>41</v>
      </c>
      <c r="G307" s="1" t="s">
        <v>786</v>
      </c>
      <c r="H307" s="2">
        <v>1</v>
      </c>
      <c r="I307" s="2">
        <v>7</v>
      </c>
      <c r="K307" s="40">
        <v>0</v>
      </c>
    </row>
    <row r="308" spans="1:11" x14ac:dyDescent="0.25">
      <c r="A308" s="1">
        <v>1929287</v>
      </c>
      <c r="B308" s="1" t="s">
        <v>37</v>
      </c>
      <c r="D308" s="2">
        <v>0</v>
      </c>
      <c r="E308" s="2" t="s">
        <v>0</v>
      </c>
      <c r="F308" s="2" t="s">
        <v>41</v>
      </c>
      <c r="G308" s="1" t="s">
        <v>786</v>
      </c>
      <c r="H308" s="2">
        <v>1</v>
      </c>
      <c r="I308" s="2">
        <v>7</v>
      </c>
      <c r="K308" s="40">
        <v>0</v>
      </c>
    </row>
    <row r="309" spans="1:11" x14ac:dyDescent="0.25">
      <c r="A309" s="1">
        <v>1239007</v>
      </c>
      <c r="B309" s="1" t="s">
        <v>283</v>
      </c>
      <c r="D309" s="2">
        <v>0</v>
      </c>
      <c r="E309" s="2" t="s">
        <v>0</v>
      </c>
      <c r="F309" s="2" t="s">
        <v>43</v>
      </c>
      <c r="G309" s="1" t="s">
        <v>786</v>
      </c>
      <c r="H309" s="2">
        <v>1</v>
      </c>
      <c r="I309" s="2">
        <v>7</v>
      </c>
      <c r="J309" s="15">
        <v>48.64</v>
      </c>
      <c r="K309" s="40">
        <v>0</v>
      </c>
    </row>
    <row r="310" spans="1:11" x14ac:dyDescent="0.25">
      <c r="A310" s="1">
        <v>1240352</v>
      </c>
      <c r="B310" s="1" t="s">
        <v>284</v>
      </c>
      <c r="D310" s="2">
        <v>0</v>
      </c>
      <c r="E310" s="2" t="s">
        <v>0</v>
      </c>
      <c r="F310" s="2" t="s">
        <v>43</v>
      </c>
      <c r="G310" s="1" t="s">
        <v>1968</v>
      </c>
      <c r="H310" s="2">
        <v>1</v>
      </c>
      <c r="I310" s="2">
        <v>7</v>
      </c>
      <c r="J310" s="15">
        <v>6.33</v>
      </c>
      <c r="K310" s="40">
        <v>0</v>
      </c>
    </row>
    <row r="311" spans="1:11" x14ac:dyDescent="0.25">
      <c r="A311" s="1">
        <v>1545259</v>
      </c>
      <c r="B311" s="1" t="s">
        <v>523</v>
      </c>
      <c r="D311" s="2">
        <v>0</v>
      </c>
      <c r="E311" s="2" t="s">
        <v>0</v>
      </c>
      <c r="F311" s="2" t="s">
        <v>42</v>
      </c>
      <c r="G311" s="1" t="s">
        <v>1968</v>
      </c>
      <c r="H311" s="2">
        <v>1</v>
      </c>
      <c r="I311" s="2">
        <v>7</v>
      </c>
      <c r="J311" s="15">
        <v>79.010000000000005</v>
      </c>
      <c r="K311" s="40">
        <v>0</v>
      </c>
    </row>
    <row r="312" spans="1:11" x14ac:dyDescent="0.25">
      <c r="A312" s="1">
        <v>1545258</v>
      </c>
      <c r="B312" s="1" t="s">
        <v>285</v>
      </c>
      <c r="D312" s="2">
        <v>0</v>
      </c>
      <c r="E312" s="2" t="s">
        <v>0</v>
      </c>
      <c r="F312" s="2" t="s">
        <v>42</v>
      </c>
      <c r="G312" s="1" t="s">
        <v>1968</v>
      </c>
      <c r="H312" s="2">
        <v>1</v>
      </c>
      <c r="I312" s="2">
        <v>7</v>
      </c>
      <c r="J312" s="15">
        <v>79.010000000000005</v>
      </c>
      <c r="K312" s="40">
        <v>0</v>
      </c>
    </row>
    <row r="313" spans="1:11" x14ac:dyDescent="0.25">
      <c r="A313" s="1">
        <v>1713452</v>
      </c>
      <c r="B313" s="1" t="s">
        <v>286</v>
      </c>
      <c r="D313" s="2">
        <v>0</v>
      </c>
      <c r="E313" s="2" t="s">
        <v>0</v>
      </c>
      <c r="F313" s="2" t="s">
        <v>42</v>
      </c>
      <c r="G313" s="1" t="s">
        <v>1968</v>
      </c>
      <c r="H313" s="2">
        <v>1</v>
      </c>
      <c r="I313" s="2">
        <v>7</v>
      </c>
      <c r="J313" s="15">
        <v>83.22</v>
      </c>
      <c r="K313" s="40">
        <v>0</v>
      </c>
    </row>
    <row r="314" spans="1:11" x14ac:dyDescent="0.25">
      <c r="A314" s="1">
        <v>2271342</v>
      </c>
      <c r="B314" s="1" t="s">
        <v>632</v>
      </c>
      <c r="D314" s="2">
        <v>0</v>
      </c>
      <c r="E314" s="2" t="s">
        <v>0</v>
      </c>
      <c r="F314" s="2" t="s">
        <v>43</v>
      </c>
      <c r="G314" s="1" t="s">
        <v>1968</v>
      </c>
      <c r="H314" s="2">
        <v>1</v>
      </c>
      <c r="I314" s="2">
        <v>7</v>
      </c>
      <c r="J314" s="15">
        <v>5.0999999999999996</v>
      </c>
      <c r="K314" s="40">
        <v>0</v>
      </c>
    </row>
    <row r="315" spans="1:11" x14ac:dyDescent="0.25">
      <c r="A315" s="1">
        <v>1543480</v>
      </c>
      <c r="B315" s="1" t="s">
        <v>508</v>
      </c>
      <c r="D315" s="2">
        <v>0</v>
      </c>
      <c r="E315" s="2" t="s">
        <v>0</v>
      </c>
      <c r="F315" s="2" t="s">
        <v>43</v>
      </c>
      <c r="G315" s="1" t="s">
        <v>786</v>
      </c>
      <c r="H315" s="2">
        <v>1</v>
      </c>
      <c r="I315" s="2">
        <v>7</v>
      </c>
      <c r="J315" s="15">
        <v>11.13</v>
      </c>
      <c r="K315" s="40">
        <v>0</v>
      </c>
    </row>
    <row r="316" spans="1:11" x14ac:dyDescent="0.25">
      <c r="A316" s="1">
        <v>1098889</v>
      </c>
      <c r="B316" s="1" t="s">
        <v>287</v>
      </c>
      <c r="D316" s="2">
        <v>0</v>
      </c>
      <c r="E316" s="2" t="s">
        <v>0</v>
      </c>
      <c r="F316" s="2" t="s">
        <v>43</v>
      </c>
      <c r="G316" s="1" t="s">
        <v>1968</v>
      </c>
      <c r="H316" s="2">
        <v>1</v>
      </c>
      <c r="I316" s="2">
        <v>7</v>
      </c>
      <c r="J316" s="15">
        <v>5.85</v>
      </c>
      <c r="K316" s="40">
        <v>0</v>
      </c>
    </row>
    <row r="317" spans="1:11" x14ac:dyDescent="0.25">
      <c r="A317" s="1">
        <v>2982300</v>
      </c>
      <c r="B317" s="1" t="s">
        <v>288</v>
      </c>
      <c r="D317" s="2">
        <v>0</v>
      </c>
      <c r="E317" s="2" t="s">
        <v>131</v>
      </c>
      <c r="F317" s="2" t="s">
        <v>42</v>
      </c>
      <c r="G317" s="1" t="s">
        <v>1968</v>
      </c>
      <c r="H317" s="2">
        <v>1</v>
      </c>
      <c r="I317" s="2">
        <v>7</v>
      </c>
      <c r="J317" s="15">
        <v>28.17</v>
      </c>
      <c r="K317" s="40">
        <v>0</v>
      </c>
    </row>
    <row r="318" spans="1:11" x14ac:dyDescent="0.25">
      <c r="A318" s="1">
        <v>6362130</v>
      </c>
      <c r="B318" s="1" t="s">
        <v>289</v>
      </c>
      <c r="D318" s="2">
        <v>0</v>
      </c>
      <c r="E318" s="2" t="s">
        <v>131</v>
      </c>
      <c r="F318" s="2" t="s">
        <v>42</v>
      </c>
      <c r="G318" s="1" t="s">
        <v>1968</v>
      </c>
      <c r="H318" s="2">
        <v>1</v>
      </c>
      <c r="I318" s="2">
        <v>7</v>
      </c>
      <c r="J318" s="15">
        <v>55.62</v>
      </c>
      <c r="K318" s="40">
        <v>0</v>
      </c>
    </row>
    <row r="319" spans="1:11" x14ac:dyDescent="0.25">
      <c r="A319" s="1">
        <v>2242157</v>
      </c>
      <c r="B319" s="1" t="s">
        <v>510</v>
      </c>
      <c r="D319" s="2">
        <v>0</v>
      </c>
      <c r="E319" s="2" t="s">
        <v>0</v>
      </c>
      <c r="F319" s="2" t="s">
        <v>41</v>
      </c>
      <c r="G319" s="1" t="s">
        <v>1968</v>
      </c>
      <c r="H319" s="2">
        <v>1</v>
      </c>
      <c r="I319" s="2">
        <v>7</v>
      </c>
      <c r="J319" s="15">
        <v>42.31</v>
      </c>
      <c r="K319" s="40">
        <v>0</v>
      </c>
    </row>
    <row r="320" spans="1:11" x14ac:dyDescent="0.25">
      <c r="A320" s="1">
        <v>2242156</v>
      </c>
      <c r="B320" s="1" t="s">
        <v>511</v>
      </c>
      <c r="D320" s="2">
        <v>0</v>
      </c>
      <c r="E320" s="2" t="s">
        <v>0</v>
      </c>
      <c r="F320" s="2" t="s">
        <v>41</v>
      </c>
      <c r="G320" s="1" t="s">
        <v>1968</v>
      </c>
      <c r="H320" s="2">
        <v>1</v>
      </c>
      <c r="I320" s="2">
        <v>7</v>
      </c>
      <c r="J320" s="15">
        <v>43.38</v>
      </c>
      <c r="K320" s="40">
        <v>0</v>
      </c>
    </row>
    <row r="321" spans="1:11" x14ac:dyDescent="0.25">
      <c r="A321" s="1">
        <v>1963980</v>
      </c>
      <c r="B321" s="1" t="s">
        <v>290</v>
      </c>
      <c r="D321" s="2">
        <v>0</v>
      </c>
      <c r="E321" s="2" t="s">
        <v>0</v>
      </c>
      <c r="F321" s="2" t="s">
        <v>43</v>
      </c>
      <c r="G321" s="1" t="s">
        <v>1968</v>
      </c>
      <c r="H321" s="2">
        <v>1</v>
      </c>
      <c r="I321" s="2">
        <v>7</v>
      </c>
      <c r="J321" s="15">
        <v>33.97</v>
      </c>
      <c r="K321" s="40">
        <v>0</v>
      </c>
    </row>
    <row r="322" spans="1:11" x14ac:dyDescent="0.25">
      <c r="A322" s="1">
        <v>1792180</v>
      </c>
      <c r="B322" s="1" t="s">
        <v>291</v>
      </c>
      <c r="D322" s="2">
        <v>0</v>
      </c>
      <c r="E322" s="2" t="s">
        <v>0</v>
      </c>
      <c r="F322" s="2" t="s">
        <v>42</v>
      </c>
      <c r="G322" s="1" t="s">
        <v>1968</v>
      </c>
      <c r="H322" s="2">
        <v>1</v>
      </c>
      <c r="I322" s="2">
        <v>7</v>
      </c>
      <c r="J322" s="15">
        <v>19.34</v>
      </c>
      <c r="K322" s="40">
        <v>0</v>
      </c>
    </row>
    <row r="323" spans="1:11" x14ac:dyDescent="0.25">
      <c r="A323" s="1">
        <v>1664246</v>
      </c>
      <c r="B323" s="1" t="s">
        <v>292</v>
      </c>
      <c r="D323" s="2">
        <v>0</v>
      </c>
      <c r="E323" s="2" t="s">
        <v>0</v>
      </c>
      <c r="F323" s="2" t="s">
        <v>42</v>
      </c>
      <c r="G323" s="1" t="s">
        <v>1968</v>
      </c>
      <c r="H323" s="2">
        <v>1</v>
      </c>
      <c r="I323" s="2">
        <v>7</v>
      </c>
      <c r="J323" s="15">
        <v>36.54</v>
      </c>
      <c r="K323" s="40">
        <v>0</v>
      </c>
    </row>
    <row r="324" spans="1:11" x14ac:dyDescent="0.25">
      <c r="A324" s="1">
        <v>1121026</v>
      </c>
      <c r="B324" s="1" t="s">
        <v>293</v>
      </c>
      <c r="D324" s="2">
        <v>0</v>
      </c>
      <c r="E324" s="2" t="s">
        <v>0</v>
      </c>
      <c r="F324" s="2" t="s">
        <v>42</v>
      </c>
      <c r="G324" s="1" t="s">
        <v>1968</v>
      </c>
      <c r="H324" s="2">
        <v>1</v>
      </c>
      <c r="I324" s="2">
        <v>7</v>
      </c>
      <c r="J324" s="15">
        <v>185.05</v>
      </c>
      <c r="K324" s="40">
        <v>0</v>
      </c>
    </row>
    <row r="325" spans="1:11" x14ac:dyDescent="0.25">
      <c r="A325" s="1">
        <v>2982090</v>
      </c>
      <c r="B325" s="1" t="s">
        <v>294</v>
      </c>
      <c r="D325" s="2">
        <v>0</v>
      </c>
      <c r="E325" s="2" t="s">
        <v>0</v>
      </c>
      <c r="F325" s="2" t="s">
        <v>42</v>
      </c>
      <c r="G325" s="1" t="s">
        <v>1968</v>
      </c>
      <c r="H325" s="2">
        <v>1</v>
      </c>
      <c r="I325" s="2">
        <v>7</v>
      </c>
      <c r="J325" s="15">
        <v>409.59</v>
      </c>
      <c r="K325" s="40">
        <v>0</v>
      </c>
    </row>
    <row r="326" spans="1:11" x14ac:dyDescent="0.25">
      <c r="A326" s="1">
        <v>1242278</v>
      </c>
      <c r="B326" s="1" t="s">
        <v>295</v>
      </c>
      <c r="D326" s="2">
        <v>0</v>
      </c>
      <c r="E326" s="2" t="s">
        <v>0</v>
      </c>
      <c r="F326" s="2" t="s">
        <v>42</v>
      </c>
      <c r="G326" s="1" t="s">
        <v>1968</v>
      </c>
      <c r="H326" s="2">
        <v>1</v>
      </c>
      <c r="I326" s="2">
        <v>7</v>
      </c>
      <c r="J326" s="15">
        <v>11.28</v>
      </c>
      <c r="K326" s="40">
        <v>0</v>
      </c>
    </row>
    <row r="327" spans="1:11" x14ac:dyDescent="0.25">
      <c r="A327" s="1">
        <v>1070054</v>
      </c>
      <c r="B327" s="1" t="s">
        <v>296</v>
      </c>
      <c r="D327" s="2">
        <v>0</v>
      </c>
      <c r="E327" s="2" t="s">
        <v>0</v>
      </c>
      <c r="F327" s="2" t="s">
        <v>42</v>
      </c>
      <c r="G327" s="1" t="s">
        <v>1968</v>
      </c>
      <c r="H327" s="2">
        <v>1</v>
      </c>
      <c r="I327" s="2">
        <v>7</v>
      </c>
      <c r="J327" s="15">
        <v>43.87</v>
      </c>
      <c r="K327" s="40">
        <v>0</v>
      </c>
    </row>
    <row r="328" spans="1:11" x14ac:dyDescent="0.25">
      <c r="A328" s="1">
        <v>2320940</v>
      </c>
      <c r="B328" s="1" t="s">
        <v>572</v>
      </c>
      <c r="D328" s="2">
        <v>0</v>
      </c>
      <c r="E328" s="2" t="s">
        <v>0</v>
      </c>
      <c r="F328" s="2" t="s">
        <v>42</v>
      </c>
      <c r="G328" s="1" t="s">
        <v>1968</v>
      </c>
      <c r="H328" s="2">
        <v>1</v>
      </c>
      <c r="I328" s="2">
        <v>7</v>
      </c>
      <c r="J328" s="15">
        <v>300.44</v>
      </c>
      <c r="K328" s="40">
        <v>0</v>
      </c>
    </row>
    <row r="329" spans="1:11" x14ac:dyDescent="0.25">
      <c r="A329" s="1">
        <v>1016799</v>
      </c>
      <c r="B329" s="1" t="s">
        <v>297</v>
      </c>
      <c r="D329" s="2">
        <v>0</v>
      </c>
      <c r="E329" s="2" t="s">
        <v>0</v>
      </c>
      <c r="F329" s="2" t="s">
        <v>42</v>
      </c>
      <c r="G329" s="1" t="s">
        <v>1968</v>
      </c>
      <c r="H329" s="2">
        <v>1</v>
      </c>
      <c r="I329" s="2">
        <v>7</v>
      </c>
      <c r="J329" s="15">
        <v>22.13</v>
      </c>
      <c r="K329" s="40">
        <v>0</v>
      </c>
    </row>
    <row r="330" spans="1:11" x14ac:dyDescent="0.25">
      <c r="A330" s="1">
        <v>2379738</v>
      </c>
      <c r="B330" s="1" t="s">
        <v>627</v>
      </c>
      <c r="D330" s="2">
        <v>0</v>
      </c>
      <c r="E330" s="2" t="s">
        <v>56</v>
      </c>
      <c r="F330" s="2" t="s">
        <v>42</v>
      </c>
      <c r="G330" s="1" t="s">
        <v>1968</v>
      </c>
      <c r="H330" s="2">
        <v>1</v>
      </c>
      <c r="I330" s="2">
        <v>7</v>
      </c>
      <c r="J330" s="15">
        <v>42.02</v>
      </c>
      <c r="K330" s="40">
        <v>0</v>
      </c>
    </row>
    <row r="331" spans="1:11" x14ac:dyDescent="0.25">
      <c r="A331" s="1">
        <v>2320943</v>
      </c>
      <c r="B331" s="1" t="s">
        <v>586</v>
      </c>
      <c r="D331" s="2">
        <v>0</v>
      </c>
      <c r="E331" s="2" t="s">
        <v>0</v>
      </c>
      <c r="F331" s="2" t="s">
        <v>42</v>
      </c>
      <c r="G331" s="1" t="s">
        <v>1968</v>
      </c>
      <c r="H331" s="2">
        <v>1</v>
      </c>
      <c r="I331" s="2">
        <v>7</v>
      </c>
      <c r="J331" s="15">
        <v>38.01</v>
      </c>
      <c r="K331" s="40">
        <v>0</v>
      </c>
    </row>
    <row r="332" spans="1:11" x14ac:dyDescent="0.25">
      <c r="A332" s="1">
        <v>1124111</v>
      </c>
      <c r="B332" s="1" t="s">
        <v>543</v>
      </c>
      <c r="D332" s="2">
        <v>0</v>
      </c>
      <c r="E332" s="2" t="s">
        <v>0</v>
      </c>
      <c r="F332" s="2" t="s">
        <v>42</v>
      </c>
      <c r="G332" s="1" t="s">
        <v>786</v>
      </c>
      <c r="H332" s="2">
        <v>1</v>
      </c>
      <c r="I332" s="2">
        <v>7</v>
      </c>
      <c r="K332" s="40">
        <v>0</v>
      </c>
    </row>
    <row r="333" spans="1:11" x14ac:dyDescent="0.25">
      <c r="A333" s="1">
        <v>2964007</v>
      </c>
      <c r="B333" s="1" t="s">
        <v>298</v>
      </c>
      <c r="D333" s="2">
        <v>0</v>
      </c>
      <c r="E333" s="2" t="s">
        <v>56</v>
      </c>
      <c r="F333" s="2" t="s">
        <v>43</v>
      </c>
      <c r="G333" s="1" t="s">
        <v>1968</v>
      </c>
      <c r="H333" s="2">
        <v>10</v>
      </c>
      <c r="I333" s="2">
        <v>7</v>
      </c>
      <c r="J333" s="15">
        <v>17.89</v>
      </c>
      <c r="K333" s="40">
        <v>0</v>
      </c>
    </row>
    <row r="334" spans="1:11" x14ac:dyDescent="0.25">
      <c r="A334" s="1">
        <v>1252338</v>
      </c>
      <c r="B334" s="1" t="s">
        <v>299</v>
      </c>
      <c r="D334" s="2">
        <v>0</v>
      </c>
      <c r="E334" s="2" t="s">
        <v>0</v>
      </c>
      <c r="F334" s="2" t="s">
        <v>42</v>
      </c>
      <c r="G334" s="1" t="s">
        <v>1968</v>
      </c>
      <c r="H334" s="2">
        <v>1</v>
      </c>
      <c r="I334" s="2">
        <v>7</v>
      </c>
      <c r="J334" s="15">
        <v>48.69</v>
      </c>
      <c r="K334" s="40">
        <v>0</v>
      </c>
    </row>
    <row r="335" spans="1:11" x14ac:dyDescent="0.25">
      <c r="A335" s="1">
        <v>2963118</v>
      </c>
      <c r="B335" s="1" t="s">
        <v>300</v>
      </c>
      <c r="D335" s="2">
        <v>0</v>
      </c>
      <c r="E335" s="2" t="s">
        <v>0</v>
      </c>
      <c r="F335" s="2" t="s">
        <v>561</v>
      </c>
      <c r="G335" s="1" t="s">
        <v>1968</v>
      </c>
      <c r="H335" s="2">
        <v>1</v>
      </c>
      <c r="I335" s="2">
        <v>7</v>
      </c>
      <c r="J335" s="15">
        <v>111.29</v>
      </c>
      <c r="K335" s="40">
        <v>0</v>
      </c>
    </row>
    <row r="336" spans="1:11" x14ac:dyDescent="0.25">
      <c r="A336" s="1">
        <v>1095929</v>
      </c>
      <c r="B336" s="1" t="s">
        <v>301</v>
      </c>
      <c r="D336" s="2">
        <v>0</v>
      </c>
      <c r="E336" s="2" t="s">
        <v>302</v>
      </c>
      <c r="F336" s="2" t="s">
        <v>42</v>
      </c>
      <c r="G336" s="1" t="s">
        <v>786</v>
      </c>
      <c r="H336" s="2">
        <v>1</v>
      </c>
      <c r="I336" s="2">
        <v>7</v>
      </c>
      <c r="K336" s="40">
        <v>0</v>
      </c>
    </row>
    <row r="337" spans="1:11" x14ac:dyDescent="0.25">
      <c r="A337" s="1">
        <v>2243667</v>
      </c>
      <c r="B337" s="1" t="s">
        <v>303</v>
      </c>
      <c r="D337" s="2">
        <v>0</v>
      </c>
      <c r="E337" s="2" t="s">
        <v>0</v>
      </c>
      <c r="F337" s="2" t="s">
        <v>40</v>
      </c>
      <c r="G337" s="1" t="s">
        <v>1968</v>
      </c>
      <c r="H337" s="2">
        <v>1</v>
      </c>
      <c r="I337" s="2">
        <v>7</v>
      </c>
      <c r="J337" s="15">
        <v>3.51</v>
      </c>
      <c r="K337" s="40">
        <v>0</v>
      </c>
    </row>
    <row r="338" spans="1:11" x14ac:dyDescent="0.25">
      <c r="A338" s="1">
        <v>2243670</v>
      </c>
      <c r="B338" s="1" t="s">
        <v>304</v>
      </c>
      <c r="D338" s="2">
        <v>0</v>
      </c>
      <c r="E338" s="2" t="s">
        <v>0</v>
      </c>
      <c r="F338" s="2" t="s">
        <v>40</v>
      </c>
      <c r="G338" s="1" t="s">
        <v>1968</v>
      </c>
      <c r="H338" s="2">
        <v>1</v>
      </c>
      <c r="I338" s="2">
        <v>7</v>
      </c>
      <c r="J338" s="15">
        <v>4.38</v>
      </c>
      <c r="K338" s="40">
        <v>0</v>
      </c>
    </row>
    <row r="339" spans="1:11" x14ac:dyDescent="0.25">
      <c r="A339" s="1">
        <v>2243614</v>
      </c>
      <c r="B339" s="1" t="s">
        <v>305</v>
      </c>
      <c r="D339" s="2">
        <v>0</v>
      </c>
      <c r="E339" s="2" t="s">
        <v>0</v>
      </c>
      <c r="F339" s="2" t="s">
        <v>40</v>
      </c>
      <c r="G339" s="1" t="s">
        <v>786</v>
      </c>
      <c r="H339" s="2">
        <v>1</v>
      </c>
      <c r="I339" s="2">
        <v>5</v>
      </c>
      <c r="K339" s="40">
        <v>0</v>
      </c>
    </row>
    <row r="340" spans="1:11" x14ac:dyDescent="0.25">
      <c r="A340" s="1">
        <v>2243605</v>
      </c>
      <c r="B340" s="1" t="s">
        <v>306</v>
      </c>
      <c r="D340" s="2">
        <v>0</v>
      </c>
      <c r="E340" s="2" t="s">
        <v>0</v>
      </c>
      <c r="F340" s="2" t="s">
        <v>40</v>
      </c>
      <c r="G340" s="1" t="s">
        <v>1968</v>
      </c>
      <c r="H340" s="2">
        <v>1</v>
      </c>
      <c r="I340" s="2">
        <v>7</v>
      </c>
      <c r="J340" s="15">
        <v>3.6</v>
      </c>
      <c r="K340" s="40">
        <v>0</v>
      </c>
    </row>
    <row r="341" spans="1:11" x14ac:dyDescent="0.25">
      <c r="A341" s="1">
        <v>2370388</v>
      </c>
      <c r="B341" s="1" t="s">
        <v>307</v>
      </c>
      <c r="D341" s="2">
        <v>0</v>
      </c>
      <c r="E341" s="2" t="s">
        <v>0</v>
      </c>
      <c r="F341" s="2" t="s">
        <v>40</v>
      </c>
      <c r="G341" s="1" t="s">
        <v>1968</v>
      </c>
      <c r="H341" s="2">
        <v>1</v>
      </c>
      <c r="I341" s="2">
        <v>7</v>
      </c>
      <c r="J341" s="15">
        <v>2.65</v>
      </c>
      <c r="K341" s="40">
        <v>0</v>
      </c>
    </row>
    <row r="342" spans="1:11" x14ac:dyDescent="0.25">
      <c r="A342" s="1">
        <v>2243606</v>
      </c>
      <c r="B342" s="1" t="s">
        <v>308</v>
      </c>
      <c r="D342" s="2">
        <v>0</v>
      </c>
      <c r="E342" s="2" t="s">
        <v>0</v>
      </c>
      <c r="F342" s="2" t="s">
        <v>40</v>
      </c>
      <c r="G342" s="1" t="s">
        <v>1968</v>
      </c>
      <c r="H342" s="2">
        <v>1</v>
      </c>
      <c r="I342" s="2">
        <v>7</v>
      </c>
      <c r="J342" s="15">
        <v>7.49</v>
      </c>
      <c r="K342" s="40">
        <v>0</v>
      </c>
    </row>
    <row r="343" spans="1:11" x14ac:dyDescent="0.25">
      <c r="A343" s="1">
        <v>2370389</v>
      </c>
      <c r="B343" s="1" t="s">
        <v>309</v>
      </c>
      <c r="D343" s="2">
        <v>0</v>
      </c>
      <c r="E343" s="2" t="s">
        <v>0</v>
      </c>
      <c r="F343" s="2" t="s">
        <v>40</v>
      </c>
      <c r="G343" s="1" t="s">
        <v>1968</v>
      </c>
      <c r="H343" s="2">
        <v>1</v>
      </c>
      <c r="I343" s="2">
        <v>7</v>
      </c>
      <c r="J343" s="15">
        <v>4.76</v>
      </c>
      <c r="K343" s="40">
        <v>0</v>
      </c>
    </row>
    <row r="344" spans="1:11" x14ac:dyDescent="0.25">
      <c r="A344" s="1">
        <v>1223501</v>
      </c>
      <c r="B344" s="1" t="s">
        <v>310</v>
      </c>
      <c r="D344" s="2">
        <v>0</v>
      </c>
      <c r="E344" s="2" t="s">
        <v>0</v>
      </c>
      <c r="F344" s="2" t="s">
        <v>42</v>
      </c>
      <c r="G344" s="1" t="s">
        <v>1968</v>
      </c>
      <c r="H344" s="2">
        <v>1</v>
      </c>
      <c r="I344" s="2">
        <v>7</v>
      </c>
      <c r="J344" s="15">
        <v>86.77</v>
      </c>
      <c r="K344" s="40">
        <v>0</v>
      </c>
    </row>
    <row r="345" spans="1:11" x14ac:dyDescent="0.25">
      <c r="A345" s="1">
        <v>1905544</v>
      </c>
      <c r="B345" s="1" t="s">
        <v>311</v>
      </c>
      <c r="D345" s="2">
        <v>0</v>
      </c>
      <c r="E345" s="2" t="s">
        <v>0</v>
      </c>
      <c r="F345" s="2" t="s">
        <v>41</v>
      </c>
      <c r="G345" s="1" t="s">
        <v>1968</v>
      </c>
      <c r="H345" s="2">
        <v>1</v>
      </c>
      <c r="I345" s="2">
        <v>7</v>
      </c>
      <c r="J345" s="15">
        <v>28.7</v>
      </c>
      <c r="K345" s="40">
        <v>0</v>
      </c>
    </row>
    <row r="346" spans="1:11" x14ac:dyDescent="0.25">
      <c r="A346" s="1">
        <v>1014855</v>
      </c>
      <c r="B346" s="1" t="s">
        <v>538</v>
      </c>
      <c r="D346" s="2">
        <v>0</v>
      </c>
      <c r="E346" s="2" t="s">
        <v>0</v>
      </c>
      <c r="F346" s="2" t="s">
        <v>42</v>
      </c>
      <c r="G346" s="1" t="s">
        <v>786</v>
      </c>
      <c r="H346" s="2">
        <v>1</v>
      </c>
      <c r="I346" s="2">
        <v>7</v>
      </c>
      <c r="K346" s="40">
        <v>0</v>
      </c>
    </row>
    <row r="347" spans="1:11" x14ac:dyDescent="0.25">
      <c r="A347" s="1">
        <v>1070022</v>
      </c>
      <c r="B347" s="1" t="s">
        <v>312</v>
      </c>
      <c r="D347" s="2">
        <v>0</v>
      </c>
      <c r="E347" s="2" t="s">
        <v>0</v>
      </c>
      <c r="F347" s="2" t="s">
        <v>42</v>
      </c>
      <c r="G347" s="1" t="s">
        <v>1968</v>
      </c>
      <c r="H347" s="2">
        <v>1</v>
      </c>
      <c r="I347" s="2">
        <v>7</v>
      </c>
      <c r="J347" s="15">
        <v>48.51</v>
      </c>
      <c r="K347" s="40">
        <v>0</v>
      </c>
    </row>
    <row r="348" spans="1:11" x14ac:dyDescent="0.25">
      <c r="A348" s="1">
        <v>1014174</v>
      </c>
      <c r="B348" s="1" t="s">
        <v>313</v>
      </c>
      <c r="D348" s="2">
        <v>0</v>
      </c>
      <c r="E348" s="2" t="s">
        <v>0</v>
      </c>
      <c r="F348" s="2" t="s">
        <v>43</v>
      </c>
      <c r="G348" s="1" t="s">
        <v>1969</v>
      </c>
      <c r="H348" s="2">
        <v>1</v>
      </c>
      <c r="I348" s="2">
        <v>7</v>
      </c>
      <c r="J348" s="15">
        <v>69.5</v>
      </c>
      <c r="K348" s="40">
        <v>0</v>
      </c>
    </row>
    <row r="349" spans="1:11" x14ac:dyDescent="0.25">
      <c r="A349" s="1">
        <v>1014173</v>
      </c>
      <c r="B349" s="1" t="s">
        <v>314</v>
      </c>
      <c r="D349" s="2">
        <v>0</v>
      </c>
      <c r="E349" s="2" t="s">
        <v>0</v>
      </c>
      <c r="F349" s="2" t="s">
        <v>41</v>
      </c>
      <c r="G349" s="1" t="s">
        <v>1968</v>
      </c>
      <c r="H349" s="2">
        <v>1</v>
      </c>
      <c r="I349" s="2">
        <v>7</v>
      </c>
      <c r="J349" s="15">
        <v>68.92</v>
      </c>
      <c r="K349" s="40">
        <v>0</v>
      </c>
    </row>
    <row r="350" spans="1:11" x14ac:dyDescent="0.25">
      <c r="A350" s="1">
        <v>1082670</v>
      </c>
      <c r="B350" s="1" t="s">
        <v>3</v>
      </c>
      <c r="D350" s="2">
        <v>0</v>
      </c>
      <c r="E350" s="2" t="s">
        <v>0</v>
      </c>
      <c r="F350" s="2" t="s">
        <v>41</v>
      </c>
      <c r="G350" s="1" t="s">
        <v>1968</v>
      </c>
      <c r="H350" s="2">
        <v>1</v>
      </c>
      <c r="I350" s="2">
        <v>7</v>
      </c>
      <c r="J350" s="15">
        <v>496.56</v>
      </c>
      <c r="K350" s="40">
        <v>0</v>
      </c>
    </row>
    <row r="351" spans="1:11" x14ac:dyDescent="0.25">
      <c r="A351" s="1">
        <v>2970133</v>
      </c>
      <c r="B351" s="1" t="s">
        <v>315</v>
      </c>
      <c r="D351" s="2">
        <v>0</v>
      </c>
      <c r="E351" s="2" t="s">
        <v>0</v>
      </c>
      <c r="F351" s="2" t="s">
        <v>40</v>
      </c>
      <c r="G351" s="1" t="s">
        <v>1968</v>
      </c>
      <c r="H351" s="2">
        <v>1</v>
      </c>
      <c r="I351" s="2">
        <v>7</v>
      </c>
      <c r="J351" s="15">
        <v>59.1</v>
      </c>
      <c r="K351" s="40">
        <v>0</v>
      </c>
    </row>
    <row r="352" spans="1:11" x14ac:dyDescent="0.25">
      <c r="A352" s="1">
        <v>1014623</v>
      </c>
      <c r="B352" s="1" t="s">
        <v>316</v>
      </c>
      <c r="D352" s="2">
        <v>0</v>
      </c>
      <c r="E352" s="2" t="s">
        <v>0</v>
      </c>
      <c r="F352" s="2" t="s">
        <v>40</v>
      </c>
      <c r="G352" s="1" t="s">
        <v>1969</v>
      </c>
      <c r="H352" s="2">
        <v>1</v>
      </c>
      <c r="I352" s="2">
        <v>7</v>
      </c>
      <c r="K352" s="40">
        <v>0</v>
      </c>
    </row>
    <row r="353" spans="1:11" x14ac:dyDescent="0.25">
      <c r="A353" s="1">
        <v>2970135</v>
      </c>
      <c r="B353" s="1" t="s">
        <v>317</v>
      </c>
      <c r="D353" s="2">
        <v>0</v>
      </c>
      <c r="E353" s="2" t="s">
        <v>0</v>
      </c>
      <c r="F353" s="2" t="s">
        <v>40</v>
      </c>
      <c r="G353" s="1" t="s">
        <v>1968</v>
      </c>
      <c r="H353" s="2">
        <v>1</v>
      </c>
      <c r="I353" s="2">
        <v>7</v>
      </c>
      <c r="J353" s="15">
        <v>80.489999999999995</v>
      </c>
      <c r="K353" s="40">
        <v>0</v>
      </c>
    </row>
    <row r="354" spans="1:11" x14ac:dyDescent="0.25">
      <c r="A354" s="1">
        <v>1162551</v>
      </c>
      <c r="B354" s="1" t="s">
        <v>318</v>
      </c>
      <c r="D354" s="2">
        <v>0</v>
      </c>
      <c r="E354" s="2" t="s">
        <v>0</v>
      </c>
      <c r="F354" s="2" t="s">
        <v>40</v>
      </c>
      <c r="G354" s="1" t="s">
        <v>1968</v>
      </c>
      <c r="H354" s="2">
        <v>1</v>
      </c>
      <c r="I354" s="2">
        <v>7</v>
      </c>
      <c r="J354" s="15">
        <v>59.41</v>
      </c>
      <c r="K354" s="40">
        <v>0</v>
      </c>
    </row>
    <row r="355" spans="1:11" x14ac:dyDescent="0.25">
      <c r="A355" s="1">
        <v>1014624</v>
      </c>
      <c r="B355" s="1" t="s">
        <v>319</v>
      </c>
      <c r="D355" s="2">
        <v>0</v>
      </c>
      <c r="E355" s="2" t="s">
        <v>0</v>
      </c>
      <c r="F355" s="2" t="s">
        <v>40</v>
      </c>
      <c r="G355" s="1" t="s">
        <v>1969</v>
      </c>
      <c r="H355" s="2">
        <v>1</v>
      </c>
      <c r="I355" s="2">
        <v>7</v>
      </c>
      <c r="J355" s="15">
        <v>62.38</v>
      </c>
      <c r="K355" s="40">
        <v>0</v>
      </c>
    </row>
    <row r="356" spans="1:11" x14ac:dyDescent="0.25">
      <c r="A356" s="1">
        <v>2962788</v>
      </c>
      <c r="B356" s="1" t="s">
        <v>320</v>
      </c>
      <c r="D356" s="2">
        <v>0</v>
      </c>
      <c r="E356" s="2" t="s">
        <v>0</v>
      </c>
      <c r="F356" s="2" t="s">
        <v>561</v>
      </c>
      <c r="G356" s="1" t="s">
        <v>1968</v>
      </c>
      <c r="H356" s="2">
        <v>1</v>
      </c>
      <c r="I356" s="2">
        <v>7</v>
      </c>
      <c r="J356" s="15">
        <v>178.72</v>
      </c>
      <c r="K356" s="40">
        <v>0</v>
      </c>
    </row>
    <row r="357" spans="1:11" x14ac:dyDescent="0.25">
      <c r="A357" s="1">
        <v>1679407</v>
      </c>
      <c r="B357" s="1" t="s">
        <v>321</v>
      </c>
      <c r="D357" s="2">
        <v>0</v>
      </c>
      <c r="E357" s="2" t="s">
        <v>0</v>
      </c>
      <c r="F357" s="2" t="s">
        <v>40</v>
      </c>
      <c r="G357" s="1" t="s">
        <v>1968</v>
      </c>
      <c r="H357" s="2">
        <v>1</v>
      </c>
      <c r="I357" s="2">
        <v>7</v>
      </c>
      <c r="J357" s="15">
        <v>8.18</v>
      </c>
      <c r="K357" s="40">
        <v>0</v>
      </c>
    </row>
    <row r="358" spans="1:11" x14ac:dyDescent="0.25">
      <c r="A358" s="1">
        <v>2241958</v>
      </c>
      <c r="B358" s="1" t="s">
        <v>322</v>
      </c>
      <c r="D358" s="2">
        <v>0</v>
      </c>
      <c r="E358" s="2" t="s">
        <v>0</v>
      </c>
      <c r="F358" s="2" t="s">
        <v>40</v>
      </c>
      <c r="G358" s="1" t="s">
        <v>1968</v>
      </c>
      <c r="H358" s="2">
        <v>1</v>
      </c>
      <c r="I358" s="2">
        <v>7</v>
      </c>
      <c r="J358" s="15">
        <v>17.32</v>
      </c>
      <c r="K358" s="40">
        <v>0</v>
      </c>
    </row>
    <row r="359" spans="1:11" x14ac:dyDescent="0.25">
      <c r="A359" s="1">
        <v>2247207</v>
      </c>
      <c r="B359" s="1" t="s">
        <v>323</v>
      </c>
      <c r="D359" s="2">
        <v>0</v>
      </c>
      <c r="E359" s="2" t="s">
        <v>0</v>
      </c>
      <c r="F359" s="2" t="s">
        <v>41</v>
      </c>
      <c r="G359" s="1" t="s">
        <v>1968</v>
      </c>
      <c r="H359" s="2">
        <v>1</v>
      </c>
      <c r="I359" s="2">
        <v>7</v>
      </c>
      <c r="J359" s="15">
        <v>30.18</v>
      </c>
      <c r="K359" s="40">
        <v>0</v>
      </c>
    </row>
    <row r="360" spans="1:11" x14ac:dyDescent="0.25">
      <c r="A360" s="1">
        <v>2242116</v>
      </c>
      <c r="B360" s="1" t="s">
        <v>324</v>
      </c>
      <c r="D360" s="2">
        <v>0</v>
      </c>
      <c r="E360" s="2" t="s">
        <v>0</v>
      </c>
      <c r="F360" s="2" t="s">
        <v>41</v>
      </c>
      <c r="G360" s="1" t="s">
        <v>1968</v>
      </c>
      <c r="H360" s="2">
        <v>1</v>
      </c>
      <c r="I360" s="2">
        <v>7</v>
      </c>
      <c r="J360" s="15">
        <v>1.39</v>
      </c>
      <c r="K360" s="40">
        <v>0</v>
      </c>
    </row>
    <row r="361" spans="1:11" x14ac:dyDescent="0.25">
      <c r="A361" s="1">
        <v>2242125</v>
      </c>
      <c r="B361" s="1" t="s">
        <v>325</v>
      </c>
      <c r="D361" s="2">
        <v>0</v>
      </c>
      <c r="E361" s="2" t="s">
        <v>131</v>
      </c>
      <c r="F361" s="2" t="s">
        <v>43</v>
      </c>
      <c r="G361" s="1" t="s">
        <v>1968</v>
      </c>
      <c r="H361" s="2">
        <v>1</v>
      </c>
      <c r="I361" s="2">
        <v>7</v>
      </c>
      <c r="J361" s="15">
        <v>15.03</v>
      </c>
      <c r="K361" s="40">
        <v>0</v>
      </c>
    </row>
    <row r="362" spans="1:11" x14ac:dyDescent="0.25">
      <c r="A362" s="1">
        <v>2242145</v>
      </c>
      <c r="B362" s="1" t="s">
        <v>326</v>
      </c>
      <c r="D362" s="2">
        <v>0</v>
      </c>
      <c r="E362" s="2" t="s">
        <v>0</v>
      </c>
      <c r="F362" s="2" t="s">
        <v>43</v>
      </c>
      <c r="G362" s="1" t="s">
        <v>1968</v>
      </c>
      <c r="H362" s="2">
        <v>1</v>
      </c>
      <c r="I362" s="2">
        <v>7</v>
      </c>
      <c r="J362" s="15">
        <v>11.61</v>
      </c>
      <c r="K362" s="40">
        <v>0</v>
      </c>
    </row>
    <row r="363" spans="1:11" x14ac:dyDescent="0.25">
      <c r="A363" s="1">
        <v>1025518</v>
      </c>
      <c r="B363" s="1" t="s">
        <v>327</v>
      </c>
      <c r="D363" s="2">
        <v>0</v>
      </c>
      <c r="E363" s="2" t="s">
        <v>0</v>
      </c>
      <c r="F363" s="2" t="s">
        <v>40</v>
      </c>
      <c r="G363" s="1" t="s">
        <v>786</v>
      </c>
      <c r="H363" s="2">
        <v>1</v>
      </c>
      <c r="I363" s="2">
        <v>7</v>
      </c>
      <c r="K363" s="40">
        <v>0</v>
      </c>
    </row>
    <row r="364" spans="1:11" x14ac:dyDescent="0.25">
      <c r="A364" s="1">
        <v>2354936</v>
      </c>
      <c r="B364" s="1" t="s">
        <v>625</v>
      </c>
      <c r="D364" s="2">
        <v>0</v>
      </c>
      <c r="E364" s="2" t="s">
        <v>0</v>
      </c>
      <c r="F364" s="2" t="s">
        <v>43</v>
      </c>
      <c r="G364" s="1" t="s">
        <v>1968</v>
      </c>
      <c r="H364" s="2">
        <v>1</v>
      </c>
      <c r="I364" s="2">
        <v>7</v>
      </c>
      <c r="J364" s="15">
        <v>0.28999999999999998</v>
      </c>
      <c r="K364" s="40">
        <v>0</v>
      </c>
    </row>
    <row r="365" spans="1:11" x14ac:dyDescent="0.25">
      <c r="A365" s="1">
        <v>1083204</v>
      </c>
      <c r="B365" s="1" t="s">
        <v>328</v>
      </c>
      <c r="D365" s="2">
        <v>0</v>
      </c>
      <c r="E365" s="2" t="s">
        <v>0</v>
      </c>
      <c r="F365" s="2" t="s">
        <v>43</v>
      </c>
      <c r="G365" s="1" t="s">
        <v>1968</v>
      </c>
      <c r="H365" s="2">
        <v>1</v>
      </c>
      <c r="I365" s="2">
        <v>7</v>
      </c>
      <c r="J365" s="15">
        <v>18.739999999999998</v>
      </c>
      <c r="K365" s="40">
        <v>0</v>
      </c>
    </row>
    <row r="366" spans="1:11" x14ac:dyDescent="0.25">
      <c r="A366" s="1">
        <v>3052506</v>
      </c>
      <c r="B366" s="1" t="s">
        <v>329</v>
      </c>
      <c r="D366" s="2">
        <v>0</v>
      </c>
      <c r="E366" s="2" t="s">
        <v>0</v>
      </c>
      <c r="F366" s="2" t="s">
        <v>40</v>
      </c>
      <c r="G366" s="1" t="s">
        <v>1968</v>
      </c>
      <c r="H366" s="2">
        <v>1</v>
      </c>
      <c r="I366" s="2">
        <v>7</v>
      </c>
      <c r="J366" s="15">
        <v>7.87</v>
      </c>
      <c r="K366" s="40">
        <v>0</v>
      </c>
    </row>
    <row r="367" spans="1:11" x14ac:dyDescent="0.25">
      <c r="A367" s="1">
        <v>2166031</v>
      </c>
      <c r="B367" s="1" t="s">
        <v>574</v>
      </c>
      <c r="D367" s="2">
        <v>0</v>
      </c>
      <c r="E367" s="2" t="s">
        <v>131</v>
      </c>
      <c r="F367" s="2" t="s">
        <v>43</v>
      </c>
      <c r="G367" s="1" t="s">
        <v>1968</v>
      </c>
      <c r="H367" s="2">
        <v>1</v>
      </c>
      <c r="I367" s="2">
        <v>7</v>
      </c>
      <c r="J367" s="15">
        <v>12.36</v>
      </c>
      <c r="K367" s="40">
        <v>0</v>
      </c>
    </row>
    <row r="368" spans="1:11" x14ac:dyDescent="0.25">
      <c r="A368" s="1">
        <v>2982068</v>
      </c>
      <c r="B368" s="1" t="s">
        <v>330</v>
      </c>
      <c r="D368" s="2">
        <v>0</v>
      </c>
      <c r="E368" s="2" t="s">
        <v>0</v>
      </c>
      <c r="F368" s="2" t="s">
        <v>42</v>
      </c>
      <c r="G368" s="1" t="s">
        <v>1968</v>
      </c>
      <c r="H368" s="2">
        <v>1</v>
      </c>
      <c r="I368" s="2">
        <v>7</v>
      </c>
      <c r="J368" s="15">
        <v>17.61</v>
      </c>
      <c r="K368" s="40">
        <v>0</v>
      </c>
    </row>
    <row r="369" spans="1:11" x14ac:dyDescent="0.25">
      <c r="A369" s="1">
        <v>1025527</v>
      </c>
      <c r="B369" s="1" t="s">
        <v>331</v>
      </c>
      <c r="D369" s="2">
        <v>0</v>
      </c>
      <c r="E369" s="2" t="s">
        <v>85</v>
      </c>
      <c r="F369" s="2" t="s">
        <v>42</v>
      </c>
      <c r="G369" s="1" t="s">
        <v>1968</v>
      </c>
      <c r="H369" s="2">
        <v>1</v>
      </c>
      <c r="I369" s="2">
        <v>7</v>
      </c>
      <c r="J369" s="15">
        <v>14.72</v>
      </c>
      <c r="K369" s="40">
        <v>0</v>
      </c>
    </row>
    <row r="370" spans="1:11" x14ac:dyDescent="0.25">
      <c r="A370" s="1">
        <v>6453810</v>
      </c>
      <c r="B370" s="1" t="s">
        <v>332</v>
      </c>
      <c r="D370" s="2">
        <v>0</v>
      </c>
      <c r="E370" s="2" t="s">
        <v>0</v>
      </c>
      <c r="F370" s="2" t="s">
        <v>43</v>
      </c>
      <c r="G370" s="1" t="s">
        <v>1968</v>
      </c>
      <c r="H370" s="2">
        <v>1</v>
      </c>
      <c r="I370" s="2">
        <v>7</v>
      </c>
      <c r="J370" s="15">
        <v>380.96</v>
      </c>
      <c r="K370" s="40">
        <v>0</v>
      </c>
    </row>
    <row r="371" spans="1:11" x14ac:dyDescent="0.25">
      <c r="A371" s="1">
        <v>2269905</v>
      </c>
      <c r="B371" s="1" t="s">
        <v>333</v>
      </c>
      <c r="D371" s="2">
        <v>0</v>
      </c>
      <c r="E371" s="2" t="s">
        <v>131</v>
      </c>
      <c r="F371" s="2" t="s">
        <v>42</v>
      </c>
      <c r="G371" s="1" t="s">
        <v>1968</v>
      </c>
      <c r="H371" s="2">
        <v>1</v>
      </c>
      <c r="I371" s="2">
        <v>7</v>
      </c>
      <c r="J371" s="15">
        <v>309.94</v>
      </c>
      <c r="K371" s="40">
        <v>0</v>
      </c>
    </row>
    <row r="372" spans="1:11" x14ac:dyDescent="0.25">
      <c r="A372" s="1">
        <v>2982353</v>
      </c>
      <c r="B372" s="1" t="s">
        <v>334</v>
      </c>
      <c r="D372" s="2">
        <v>0</v>
      </c>
      <c r="E372" s="2" t="s">
        <v>0</v>
      </c>
      <c r="F372" s="2" t="s">
        <v>42</v>
      </c>
      <c r="G372" s="1" t="s">
        <v>1968</v>
      </c>
      <c r="H372" s="2">
        <v>1</v>
      </c>
      <c r="I372" s="2">
        <v>7</v>
      </c>
      <c r="J372" s="15">
        <v>165.08</v>
      </c>
      <c r="K372" s="40">
        <v>0</v>
      </c>
    </row>
    <row r="373" spans="1:11" x14ac:dyDescent="0.25">
      <c r="A373" s="1">
        <v>1016802</v>
      </c>
      <c r="B373" s="1" t="s">
        <v>335</v>
      </c>
      <c r="D373" s="2">
        <v>0</v>
      </c>
      <c r="E373" s="2" t="s">
        <v>0</v>
      </c>
      <c r="F373" s="2" t="s">
        <v>42</v>
      </c>
      <c r="G373" s="1" t="s">
        <v>1968</v>
      </c>
      <c r="H373" s="2">
        <v>1</v>
      </c>
      <c r="I373" s="2">
        <v>7</v>
      </c>
      <c r="J373" s="15">
        <v>41.23</v>
      </c>
      <c r="K373" s="40">
        <v>0</v>
      </c>
    </row>
    <row r="374" spans="1:11" x14ac:dyDescent="0.25">
      <c r="A374" s="1">
        <v>2982301</v>
      </c>
      <c r="B374" s="1" t="s">
        <v>336</v>
      </c>
      <c r="D374" s="2">
        <v>0</v>
      </c>
      <c r="E374" s="2" t="s">
        <v>131</v>
      </c>
      <c r="F374" s="2" t="s">
        <v>42</v>
      </c>
      <c r="G374" s="1" t="s">
        <v>1968</v>
      </c>
      <c r="H374" s="2">
        <v>1</v>
      </c>
      <c r="I374" s="2">
        <v>7</v>
      </c>
      <c r="J374" s="15">
        <v>16.46</v>
      </c>
      <c r="K374" s="40">
        <v>0</v>
      </c>
    </row>
    <row r="375" spans="1:11" x14ac:dyDescent="0.25">
      <c r="A375" s="1">
        <v>1082380</v>
      </c>
      <c r="B375" s="1" t="s">
        <v>337</v>
      </c>
      <c r="D375" s="2">
        <v>0</v>
      </c>
      <c r="E375" s="2" t="s">
        <v>0</v>
      </c>
      <c r="F375" s="2" t="s">
        <v>561</v>
      </c>
      <c r="G375" s="1" t="s">
        <v>1968</v>
      </c>
      <c r="H375" s="2">
        <v>1</v>
      </c>
      <c r="I375" s="2">
        <v>7</v>
      </c>
      <c r="J375" s="15">
        <v>701.26</v>
      </c>
      <c r="K375" s="40">
        <v>0</v>
      </c>
    </row>
    <row r="376" spans="1:11" x14ac:dyDescent="0.25">
      <c r="A376" s="1">
        <v>2962114</v>
      </c>
      <c r="B376" s="1" t="s">
        <v>26</v>
      </c>
      <c r="D376" s="2">
        <v>0</v>
      </c>
      <c r="E376" s="2" t="s">
        <v>0</v>
      </c>
      <c r="F376" s="2" t="s">
        <v>561</v>
      </c>
      <c r="G376" s="1" t="s">
        <v>2058</v>
      </c>
      <c r="H376" s="2">
        <v>1</v>
      </c>
      <c r="I376" s="2">
        <v>14</v>
      </c>
      <c r="J376" s="15">
        <v>209.48</v>
      </c>
      <c r="K376" s="40">
        <v>0</v>
      </c>
    </row>
    <row r="377" spans="1:11" x14ac:dyDescent="0.25">
      <c r="A377" s="1">
        <v>1075909</v>
      </c>
      <c r="B377" s="1" t="s">
        <v>530</v>
      </c>
      <c r="D377" s="2">
        <v>0</v>
      </c>
      <c r="E377" s="2" t="s">
        <v>0</v>
      </c>
      <c r="F377" s="2" t="s">
        <v>42</v>
      </c>
      <c r="G377" s="1" t="s">
        <v>1968</v>
      </c>
      <c r="H377" s="2">
        <v>1</v>
      </c>
      <c r="I377" s="2">
        <v>7</v>
      </c>
      <c r="J377" s="15">
        <v>213.57</v>
      </c>
      <c r="K377" s="40">
        <v>0</v>
      </c>
    </row>
    <row r="378" spans="1:11" x14ac:dyDescent="0.25">
      <c r="A378" s="1">
        <v>2241506</v>
      </c>
      <c r="B378" s="1" t="s">
        <v>338</v>
      </c>
      <c r="D378" s="2">
        <v>0</v>
      </c>
      <c r="E378" s="2" t="s">
        <v>0</v>
      </c>
      <c r="F378" s="2" t="s">
        <v>43</v>
      </c>
      <c r="G378" s="1" t="s">
        <v>1968</v>
      </c>
      <c r="H378" s="2">
        <v>1</v>
      </c>
      <c r="I378" s="2">
        <v>7</v>
      </c>
      <c r="J378" s="15">
        <v>1.86</v>
      </c>
      <c r="K378" s="40">
        <v>0</v>
      </c>
    </row>
    <row r="379" spans="1:11" x14ac:dyDescent="0.25">
      <c r="A379" s="1">
        <v>5600436</v>
      </c>
      <c r="B379" s="1" t="s">
        <v>339</v>
      </c>
      <c r="D379" s="2">
        <v>0</v>
      </c>
      <c r="E379" s="2" t="s">
        <v>0</v>
      </c>
      <c r="F379" s="2" t="s">
        <v>43</v>
      </c>
      <c r="G379" s="1" t="s">
        <v>1968</v>
      </c>
      <c r="H379" s="2">
        <v>1</v>
      </c>
      <c r="I379" s="2">
        <v>7</v>
      </c>
      <c r="J379" s="15">
        <v>39.450000000000003</v>
      </c>
      <c r="K379" s="40">
        <v>0</v>
      </c>
    </row>
    <row r="380" spans="1:11" x14ac:dyDescent="0.25">
      <c r="A380" s="1">
        <v>1025729</v>
      </c>
      <c r="B380" s="1" t="s">
        <v>340</v>
      </c>
      <c r="D380" s="2">
        <v>0</v>
      </c>
      <c r="E380" s="2" t="s">
        <v>0</v>
      </c>
      <c r="F380" s="2" t="s">
        <v>41</v>
      </c>
      <c r="G380" s="1" t="s">
        <v>1968</v>
      </c>
      <c r="H380" s="2">
        <v>1</v>
      </c>
      <c r="I380" s="2">
        <v>7</v>
      </c>
      <c r="J380" s="15">
        <v>7.02</v>
      </c>
      <c r="K380" s="40">
        <v>0</v>
      </c>
    </row>
    <row r="381" spans="1:11" x14ac:dyDescent="0.25">
      <c r="A381" s="1">
        <v>1030575</v>
      </c>
      <c r="B381" s="1" t="s">
        <v>341</v>
      </c>
      <c r="D381" s="2">
        <v>0</v>
      </c>
      <c r="E381" s="2" t="s">
        <v>0</v>
      </c>
      <c r="F381" s="2" t="s">
        <v>561</v>
      </c>
      <c r="G381" s="1" t="s">
        <v>2058</v>
      </c>
      <c r="H381" s="2">
        <v>1</v>
      </c>
      <c r="I381" s="2">
        <v>7</v>
      </c>
      <c r="J381" s="15">
        <v>8579.64</v>
      </c>
      <c r="K381" s="40">
        <v>0</v>
      </c>
    </row>
    <row r="382" spans="1:11" x14ac:dyDescent="0.25">
      <c r="A382" s="1">
        <v>2962145</v>
      </c>
      <c r="B382" s="1" t="s">
        <v>22</v>
      </c>
      <c r="D382" s="2">
        <v>0</v>
      </c>
      <c r="E382" s="2" t="s">
        <v>0</v>
      </c>
      <c r="F382" s="2" t="s">
        <v>561</v>
      </c>
      <c r="G382" s="1" t="s">
        <v>2058</v>
      </c>
      <c r="H382" s="2">
        <v>1</v>
      </c>
      <c r="I382" s="2">
        <v>14</v>
      </c>
      <c r="J382" s="15">
        <v>3142.74</v>
      </c>
      <c r="K382" s="40">
        <v>0</v>
      </c>
    </row>
    <row r="383" spans="1:11" x14ac:dyDescent="0.25">
      <c r="A383" s="1">
        <v>2962105</v>
      </c>
      <c r="B383" s="1" t="s">
        <v>23</v>
      </c>
      <c r="D383" s="2">
        <v>0</v>
      </c>
      <c r="E383" s="2" t="s">
        <v>0</v>
      </c>
      <c r="F383" s="2" t="s">
        <v>561</v>
      </c>
      <c r="G383" s="1" t="s">
        <v>2058</v>
      </c>
      <c r="H383" s="2">
        <v>1</v>
      </c>
      <c r="I383" s="2">
        <v>14</v>
      </c>
      <c r="J383" s="15">
        <v>5830.38</v>
      </c>
      <c r="K383" s="40">
        <v>0</v>
      </c>
    </row>
    <row r="384" spans="1:11" x14ac:dyDescent="0.25">
      <c r="A384" s="1">
        <v>2981639</v>
      </c>
      <c r="B384" s="1" t="s">
        <v>342</v>
      </c>
      <c r="D384" s="2">
        <v>0</v>
      </c>
      <c r="E384" s="2" t="s">
        <v>343</v>
      </c>
      <c r="F384" s="2" t="s">
        <v>42</v>
      </c>
      <c r="G384" s="1" t="s">
        <v>786</v>
      </c>
      <c r="H384" s="2">
        <v>1</v>
      </c>
      <c r="I384" s="2">
        <v>7</v>
      </c>
      <c r="K384" s="40">
        <v>0</v>
      </c>
    </row>
    <row r="385" spans="1:11" x14ac:dyDescent="0.25">
      <c r="A385" s="1">
        <v>2192692</v>
      </c>
      <c r="B385" s="1" t="s">
        <v>544</v>
      </c>
      <c r="D385" s="2">
        <v>0</v>
      </c>
      <c r="E385" s="2" t="s">
        <v>0</v>
      </c>
      <c r="F385" s="2" t="s">
        <v>43</v>
      </c>
      <c r="G385" s="1" t="s">
        <v>1968</v>
      </c>
      <c r="H385" s="2">
        <v>1</v>
      </c>
      <c r="I385" s="2">
        <v>7</v>
      </c>
      <c r="J385" s="15">
        <v>1.34</v>
      </c>
      <c r="K385" s="40">
        <v>0</v>
      </c>
    </row>
    <row r="386" spans="1:11" x14ac:dyDescent="0.25">
      <c r="A386" s="1">
        <v>1068419</v>
      </c>
      <c r="B386" s="1" t="s">
        <v>344</v>
      </c>
      <c r="D386" s="2">
        <v>0</v>
      </c>
      <c r="E386" s="2" t="s">
        <v>0</v>
      </c>
      <c r="F386" s="2" t="s">
        <v>42</v>
      </c>
      <c r="G386" s="1" t="s">
        <v>1968</v>
      </c>
      <c r="H386" s="2">
        <v>1</v>
      </c>
      <c r="I386" s="2">
        <v>7</v>
      </c>
      <c r="J386" s="15">
        <v>767.68</v>
      </c>
      <c r="K386" s="40">
        <v>0</v>
      </c>
    </row>
    <row r="387" spans="1:11" x14ac:dyDescent="0.25">
      <c r="A387" s="1">
        <v>2981537</v>
      </c>
      <c r="B387" s="1" t="s">
        <v>345</v>
      </c>
      <c r="D387" s="2">
        <v>0</v>
      </c>
      <c r="E387" s="2" t="s">
        <v>0</v>
      </c>
      <c r="F387" s="2" t="s">
        <v>42</v>
      </c>
      <c r="G387" s="1" t="s">
        <v>1968</v>
      </c>
      <c r="H387" s="2">
        <v>1</v>
      </c>
      <c r="I387" s="2">
        <v>7</v>
      </c>
      <c r="J387" s="15">
        <v>1.54</v>
      </c>
      <c r="K387" s="40">
        <v>0</v>
      </c>
    </row>
    <row r="388" spans="1:11" x14ac:dyDescent="0.25">
      <c r="A388" s="1">
        <v>1062089</v>
      </c>
      <c r="B388" s="1" t="s">
        <v>567</v>
      </c>
      <c r="D388" s="2">
        <v>0</v>
      </c>
      <c r="E388" s="2" t="s">
        <v>0</v>
      </c>
      <c r="F388" s="2" t="s">
        <v>561</v>
      </c>
      <c r="G388" s="1" t="s">
        <v>1968</v>
      </c>
      <c r="H388" s="2">
        <v>1</v>
      </c>
      <c r="I388" s="2">
        <v>7</v>
      </c>
      <c r="J388" s="15">
        <v>3.34</v>
      </c>
      <c r="K388" s="40">
        <v>0</v>
      </c>
    </row>
    <row r="389" spans="1:11" x14ac:dyDescent="0.25">
      <c r="A389" s="1">
        <v>1484421</v>
      </c>
      <c r="B389" s="1" t="s">
        <v>346</v>
      </c>
      <c r="D389" s="2">
        <v>0</v>
      </c>
      <c r="E389" s="2" t="s">
        <v>0</v>
      </c>
      <c r="F389" s="2" t="s">
        <v>41</v>
      </c>
      <c r="G389" s="1" t="s">
        <v>1968</v>
      </c>
      <c r="H389" s="2">
        <v>1</v>
      </c>
      <c r="I389" s="2">
        <v>7</v>
      </c>
      <c r="J389" s="15">
        <v>12.7</v>
      </c>
      <c r="K389" s="40">
        <v>0</v>
      </c>
    </row>
    <row r="390" spans="1:11" x14ac:dyDescent="0.25">
      <c r="A390" s="1">
        <v>1354233</v>
      </c>
      <c r="B390" s="1" t="s">
        <v>347</v>
      </c>
      <c r="D390" s="2">
        <v>0</v>
      </c>
      <c r="E390" s="2" t="s">
        <v>0</v>
      </c>
      <c r="F390" s="2" t="s">
        <v>557</v>
      </c>
      <c r="G390" s="1" t="s">
        <v>1968</v>
      </c>
      <c r="H390" s="2">
        <v>1</v>
      </c>
      <c r="I390" s="2">
        <v>7</v>
      </c>
      <c r="J390" s="15">
        <v>59.75</v>
      </c>
      <c r="K390" s="40">
        <v>0</v>
      </c>
    </row>
    <row r="391" spans="1:11" x14ac:dyDescent="0.25">
      <c r="A391" s="1">
        <v>1534351</v>
      </c>
      <c r="B391" s="1" t="s">
        <v>348</v>
      </c>
      <c r="D391" s="2">
        <v>0</v>
      </c>
      <c r="E391" s="2" t="s">
        <v>0</v>
      </c>
      <c r="F391" s="2" t="s">
        <v>41</v>
      </c>
      <c r="G391" s="1" t="s">
        <v>1968</v>
      </c>
      <c r="H391" s="2">
        <v>1</v>
      </c>
      <c r="I391" s="2">
        <v>7</v>
      </c>
      <c r="J391" s="15">
        <v>14.72</v>
      </c>
      <c r="K391" s="40">
        <v>0</v>
      </c>
    </row>
    <row r="392" spans="1:11" x14ac:dyDescent="0.25">
      <c r="A392" s="1">
        <v>1098476</v>
      </c>
      <c r="B392" s="1" t="s">
        <v>349</v>
      </c>
      <c r="D392" s="2">
        <v>0</v>
      </c>
      <c r="E392" s="2" t="s">
        <v>302</v>
      </c>
      <c r="F392" s="2" t="s">
        <v>40</v>
      </c>
      <c r="G392" s="1" t="s">
        <v>1968</v>
      </c>
      <c r="H392" s="2">
        <v>1</v>
      </c>
      <c r="I392" s="2">
        <v>7</v>
      </c>
      <c r="J392" s="15">
        <v>193.42</v>
      </c>
      <c r="K392" s="40">
        <v>0</v>
      </c>
    </row>
    <row r="393" spans="1:11" x14ac:dyDescent="0.25">
      <c r="A393" s="1">
        <v>1122422</v>
      </c>
      <c r="B393" s="1" t="s">
        <v>350</v>
      </c>
      <c r="D393" s="2">
        <v>0</v>
      </c>
      <c r="E393" s="2" t="s">
        <v>0</v>
      </c>
      <c r="F393" s="2" t="s">
        <v>41</v>
      </c>
      <c r="G393" s="1" t="s">
        <v>1968</v>
      </c>
      <c r="H393" s="2">
        <v>1</v>
      </c>
      <c r="I393" s="2">
        <v>7</v>
      </c>
      <c r="J393" s="15">
        <v>230.62</v>
      </c>
      <c r="K393" s="40">
        <v>0</v>
      </c>
    </row>
    <row r="394" spans="1:11" x14ac:dyDescent="0.25">
      <c r="A394" s="1">
        <v>1025548</v>
      </c>
      <c r="B394" s="1" t="s">
        <v>351</v>
      </c>
      <c r="D394" s="2">
        <v>0</v>
      </c>
      <c r="E394" s="2" t="s">
        <v>0</v>
      </c>
      <c r="F394" s="2" t="s">
        <v>40</v>
      </c>
      <c r="G394" s="1" t="s">
        <v>1968</v>
      </c>
      <c r="H394" s="2">
        <v>1</v>
      </c>
      <c r="I394" s="2">
        <v>7</v>
      </c>
      <c r="J394" s="15">
        <v>269.73</v>
      </c>
      <c r="K394" s="40">
        <v>0</v>
      </c>
    </row>
    <row r="395" spans="1:11" x14ac:dyDescent="0.25">
      <c r="A395" s="1">
        <v>1120789</v>
      </c>
      <c r="B395" s="1" t="s">
        <v>352</v>
      </c>
      <c r="D395" s="2">
        <v>0</v>
      </c>
      <c r="E395" s="2" t="s">
        <v>131</v>
      </c>
      <c r="F395" s="2" t="s">
        <v>43</v>
      </c>
      <c r="G395" s="1" t="s">
        <v>1968</v>
      </c>
      <c r="H395" s="2">
        <v>1</v>
      </c>
      <c r="I395" s="2">
        <v>7</v>
      </c>
      <c r="J395" s="15">
        <v>17.3</v>
      </c>
      <c r="K395" s="40">
        <v>0</v>
      </c>
    </row>
    <row r="396" spans="1:11" x14ac:dyDescent="0.25">
      <c r="A396" s="1">
        <v>1162464</v>
      </c>
      <c r="B396" s="1" t="s">
        <v>353</v>
      </c>
      <c r="D396" s="2">
        <v>0</v>
      </c>
      <c r="E396" s="2" t="s">
        <v>0</v>
      </c>
      <c r="F396" s="2" t="s">
        <v>42</v>
      </c>
      <c r="G396" s="1" t="s">
        <v>1968</v>
      </c>
      <c r="H396" s="2">
        <v>1</v>
      </c>
      <c r="I396" s="2">
        <v>7</v>
      </c>
      <c r="J396" s="15">
        <v>23.07</v>
      </c>
      <c r="K396" s="40">
        <v>0</v>
      </c>
    </row>
    <row r="397" spans="1:11" x14ac:dyDescent="0.25">
      <c r="A397" s="1">
        <v>2378152</v>
      </c>
      <c r="B397" s="1" t="s">
        <v>613</v>
      </c>
      <c r="D397" s="2">
        <v>0</v>
      </c>
      <c r="E397" s="2" t="s">
        <v>0</v>
      </c>
      <c r="F397" s="2" t="s">
        <v>41</v>
      </c>
      <c r="G397" s="1" t="s">
        <v>1968</v>
      </c>
      <c r="H397" s="2">
        <v>1</v>
      </c>
      <c r="I397" s="2">
        <v>7</v>
      </c>
      <c r="J397" s="15">
        <v>161.65</v>
      </c>
      <c r="K397" s="40">
        <v>0</v>
      </c>
    </row>
    <row r="398" spans="1:11" x14ac:dyDescent="0.25">
      <c r="A398" s="1">
        <v>2378153</v>
      </c>
      <c r="B398" s="1" t="s">
        <v>592</v>
      </c>
      <c r="D398" s="2">
        <v>0</v>
      </c>
      <c r="E398" s="2" t="s">
        <v>0</v>
      </c>
      <c r="F398" s="2" t="s">
        <v>41</v>
      </c>
      <c r="G398" s="1" t="s">
        <v>1968</v>
      </c>
      <c r="H398" s="2">
        <v>1</v>
      </c>
      <c r="I398" s="2">
        <v>7</v>
      </c>
      <c r="J398" s="15">
        <v>171.41</v>
      </c>
      <c r="K398" s="40">
        <v>0</v>
      </c>
    </row>
    <row r="399" spans="1:11" x14ac:dyDescent="0.25">
      <c r="A399" s="1">
        <v>2378154</v>
      </c>
      <c r="B399" s="1" t="s">
        <v>593</v>
      </c>
      <c r="D399" s="2">
        <v>0</v>
      </c>
      <c r="E399" s="2" t="s">
        <v>0</v>
      </c>
      <c r="F399" s="2" t="s">
        <v>41</v>
      </c>
      <c r="G399" s="1" t="s">
        <v>1968</v>
      </c>
      <c r="H399" s="2">
        <v>1</v>
      </c>
      <c r="I399" s="2">
        <v>7</v>
      </c>
      <c r="J399" s="15">
        <v>210.14</v>
      </c>
      <c r="K399" s="40">
        <v>0</v>
      </c>
    </row>
    <row r="400" spans="1:11" x14ac:dyDescent="0.25">
      <c r="A400" s="1">
        <v>2378156</v>
      </c>
      <c r="B400" s="1" t="s">
        <v>594</v>
      </c>
      <c r="D400" s="2">
        <v>0</v>
      </c>
      <c r="E400" s="2" t="s">
        <v>0</v>
      </c>
      <c r="F400" s="2" t="s">
        <v>41</v>
      </c>
      <c r="G400" s="1" t="s">
        <v>1968</v>
      </c>
      <c r="H400" s="2">
        <v>1</v>
      </c>
      <c r="I400" s="2">
        <v>7</v>
      </c>
      <c r="J400" s="15">
        <v>238.84</v>
      </c>
      <c r="K400" s="40">
        <v>0</v>
      </c>
    </row>
    <row r="401" spans="1:11" x14ac:dyDescent="0.25">
      <c r="A401" s="1">
        <v>2378157</v>
      </c>
      <c r="B401" s="1" t="s">
        <v>595</v>
      </c>
      <c r="D401" s="2">
        <v>0</v>
      </c>
      <c r="E401" s="2" t="s">
        <v>0</v>
      </c>
      <c r="F401" s="2" t="s">
        <v>41</v>
      </c>
      <c r="G401" s="1" t="s">
        <v>1968</v>
      </c>
      <c r="H401" s="2">
        <v>1</v>
      </c>
      <c r="I401" s="2">
        <v>7</v>
      </c>
      <c r="J401" s="15">
        <v>301.2</v>
      </c>
      <c r="K401" s="40">
        <v>0</v>
      </c>
    </row>
    <row r="402" spans="1:11" x14ac:dyDescent="0.25">
      <c r="A402" s="1">
        <v>2378158</v>
      </c>
      <c r="B402" s="1" t="s">
        <v>596</v>
      </c>
      <c r="D402" s="2">
        <v>0</v>
      </c>
      <c r="E402" s="2" t="s">
        <v>0</v>
      </c>
      <c r="F402" s="2" t="s">
        <v>41</v>
      </c>
      <c r="G402" s="1" t="s">
        <v>1968</v>
      </c>
      <c r="H402" s="2">
        <v>1</v>
      </c>
      <c r="I402" s="2">
        <v>7</v>
      </c>
      <c r="J402" s="15">
        <v>365.63</v>
      </c>
      <c r="K402" s="40">
        <v>0</v>
      </c>
    </row>
    <row r="403" spans="1:11" x14ac:dyDescent="0.25">
      <c r="A403" s="1">
        <v>2378159</v>
      </c>
      <c r="B403" s="1" t="s">
        <v>597</v>
      </c>
      <c r="D403" s="2">
        <v>0</v>
      </c>
      <c r="E403" s="2" t="s">
        <v>0</v>
      </c>
      <c r="F403" s="2" t="s">
        <v>41</v>
      </c>
      <c r="G403" s="1" t="s">
        <v>1968</v>
      </c>
      <c r="H403" s="2">
        <v>1</v>
      </c>
      <c r="I403" s="2">
        <v>7</v>
      </c>
      <c r="J403" s="15">
        <v>488.75</v>
      </c>
      <c r="K403" s="40">
        <v>0</v>
      </c>
    </row>
    <row r="404" spans="1:11" x14ac:dyDescent="0.25">
      <c r="A404" s="1">
        <v>2378160</v>
      </c>
      <c r="B404" s="1" t="s">
        <v>598</v>
      </c>
      <c r="D404" s="2">
        <v>0</v>
      </c>
      <c r="E404" s="2" t="s">
        <v>0</v>
      </c>
      <c r="F404" s="2" t="s">
        <v>41</v>
      </c>
      <c r="G404" s="1" t="s">
        <v>1968</v>
      </c>
      <c r="H404" s="2">
        <v>1</v>
      </c>
      <c r="I404" s="2">
        <v>7</v>
      </c>
      <c r="J404" s="15">
        <v>657.5</v>
      </c>
      <c r="K404" s="40">
        <v>0</v>
      </c>
    </row>
    <row r="405" spans="1:11" x14ac:dyDescent="0.25">
      <c r="A405" s="1">
        <v>2378134</v>
      </c>
      <c r="B405" s="1" t="s">
        <v>614</v>
      </c>
      <c r="D405" s="2">
        <v>0</v>
      </c>
      <c r="E405" s="2" t="s">
        <v>0</v>
      </c>
      <c r="F405" s="2" t="s">
        <v>41</v>
      </c>
      <c r="G405" s="1" t="s">
        <v>1968</v>
      </c>
      <c r="H405" s="2">
        <v>1</v>
      </c>
      <c r="I405" s="2">
        <v>7</v>
      </c>
      <c r="J405" s="15">
        <v>91.49</v>
      </c>
      <c r="K405" s="40">
        <v>0</v>
      </c>
    </row>
    <row r="406" spans="1:11" x14ac:dyDescent="0.25">
      <c r="A406" s="1">
        <v>2378135</v>
      </c>
      <c r="B406" s="1" t="s">
        <v>599</v>
      </c>
      <c r="D406" s="2">
        <v>0</v>
      </c>
      <c r="E406" s="2" t="s">
        <v>0</v>
      </c>
      <c r="F406" s="2" t="s">
        <v>41</v>
      </c>
      <c r="G406" s="1" t="s">
        <v>1968</v>
      </c>
      <c r="H406" s="2">
        <v>1</v>
      </c>
      <c r="I406" s="2">
        <v>7</v>
      </c>
      <c r="J406" s="15">
        <v>99.02</v>
      </c>
      <c r="K406" s="40">
        <v>0</v>
      </c>
    </row>
    <row r="407" spans="1:11" x14ac:dyDescent="0.25">
      <c r="A407" s="1">
        <v>2378136</v>
      </c>
      <c r="B407" s="1" t="s">
        <v>600</v>
      </c>
      <c r="D407" s="2">
        <v>0</v>
      </c>
      <c r="E407" s="2" t="s">
        <v>0</v>
      </c>
      <c r="F407" s="2" t="s">
        <v>41</v>
      </c>
      <c r="G407" s="1" t="s">
        <v>1968</v>
      </c>
      <c r="H407" s="2">
        <v>1</v>
      </c>
      <c r="I407" s="2">
        <v>7</v>
      </c>
      <c r="J407" s="15">
        <v>127.71</v>
      </c>
      <c r="K407" s="40">
        <v>0</v>
      </c>
    </row>
    <row r="408" spans="1:11" x14ac:dyDescent="0.25">
      <c r="A408" s="1">
        <v>2378138</v>
      </c>
      <c r="B408" s="1" t="s">
        <v>601</v>
      </c>
      <c r="D408" s="2">
        <v>0</v>
      </c>
      <c r="E408" s="2" t="s">
        <v>0</v>
      </c>
      <c r="F408" s="2" t="s">
        <v>41</v>
      </c>
      <c r="G408" s="1" t="s">
        <v>1968</v>
      </c>
      <c r="H408" s="2">
        <v>1</v>
      </c>
      <c r="I408" s="2">
        <v>7</v>
      </c>
      <c r="J408" s="15">
        <v>149.19</v>
      </c>
      <c r="K408" s="40">
        <v>0</v>
      </c>
    </row>
    <row r="409" spans="1:11" x14ac:dyDescent="0.25">
      <c r="A409" s="1">
        <v>2378139</v>
      </c>
      <c r="B409" s="1" t="s">
        <v>602</v>
      </c>
      <c r="D409" s="2">
        <v>0</v>
      </c>
      <c r="E409" s="2" t="s">
        <v>0</v>
      </c>
      <c r="F409" s="2" t="s">
        <v>41</v>
      </c>
      <c r="G409" s="1" t="s">
        <v>1968</v>
      </c>
      <c r="H409" s="2">
        <v>1</v>
      </c>
      <c r="I409" s="2">
        <v>7</v>
      </c>
      <c r="J409" s="15">
        <v>197.62</v>
      </c>
      <c r="K409" s="40">
        <v>0</v>
      </c>
    </row>
    <row r="410" spans="1:11" x14ac:dyDescent="0.25">
      <c r="A410" s="1">
        <v>2378140</v>
      </c>
      <c r="B410" s="1" t="s">
        <v>603</v>
      </c>
      <c r="D410" s="2">
        <v>0</v>
      </c>
      <c r="E410" s="2" t="s">
        <v>0</v>
      </c>
      <c r="F410" s="2" t="s">
        <v>41</v>
      </c>
      <c r="G410" s="1" t="s">
        <v>1968</v>
      </c>
      <c r="H410" s="2">
        <v>1</v>
      </c>
      <c r="I410" s="2">
        <v>7</v>
      </c>
      <c r="J410" s="15">
        <v>249</v>
      </c>
      <c r="K410" s="40">
        <v>0</v>
      </c>
    </row>
    <row r="411" spans="1:11" x14ac:dyDescent="0.25">
      <c r="A411" s="1">
        <v>2378141</v>
      </c>
      <c r="B411" s="1" t="s">
        <v>604</v>
      </c>
      <c r="D411" s="2">
        <v>0</v>
      </c>
      <c r="E411" s="2" t="s">
        <v>0</v>
      </c>
      <c r="F411" s="2" t="s">
        <v>41</v>
      </c>
      <c r="G411" s="1" t="s">
        <v>1968</v>
      </c>
      <c r="H411" s="2">
        <v>1</v>
      </c>
      <c r="I411" s="2">
        <v>7</v>
      </c>
      <c r="J411" s="15">
        <v>351.08</v>
      </c>
      <c r="K411" s="40">
        <v>0</v>
      </c>
    </row>
    <row r="412" spans="1:11" x14ac:dyDescent="0.25">
      <c r="A412" s="1">
        <v>2378142</v>
      </c>
      <c r="B412" s="1" t="s">
        <v>605</v>
      </c>
      <c r="D412" s="2">
        <v>0</v>
      </c>
      <c r="E412" s="2" t="s">
        <v>0</v>
      </c>
      <c r="F412" s="2" t="s">
        <v>41</v>
      </c>
      <c r="G412" s="1" t="s">
        <v>1968</v>
      </c>
      <c r="H412" s="2">
        <v>1</v>
      </c>
      <c r="I412" s="2">
        <v>7</v>
      </c>
      <c r="J412" s="15">
        <v>499.01</v>
      </c>
      <c r="K412" s="40">
        <v>0</v>
      </c>
    </row>
    <row r="413" spans="1:11" x14ac:dyDescent="0.25">
      <c r="A413" s="1">
        <v>2378143</v>
      </c>
      <c r="B413" s="1" t="s">
        <v>615</v>
      </c>
      <c r="D413" s="2">
        <v>0</v>
      </c>
      <c r="E413" s="2" t="s">
        <v>0</v>
      </c>
      <c r="F413" s="2" t="s">
        <v>41</v>
      </c>
      <c r="G413" s="1" t="s">
        <v>1968</v>
      </c>
      <c r="H413" s="2">
        <v>1</v>
      </c>
      <c r="I413" s="2">
        <v>7</v>
      </c>
      <c r="J413" s="15">
        <v>113.87</v>
      </c>
      <c r="K413" s="40">
        <v>0</v>
      </c>
    </row>
    <row r="414" spans="1:11" x14ac:dyDescent="0.25">
      <c r="A414" s="1">
        <v>2378144</v>
      </c>
      <c r="B414" s="1" t="s">
        <v>606</v>
      </c>
      <c r="D414" s="2">
        <v>0</v>
      </c>
      <c r="E414" s="2" t="s">
        <v>0</v>
      </c>
      <c r="F414" s="2" t="s">
        <v>41</v>
      </c>
      <c r="G414" s="1" t="s">
        <v>1968</v>
      </c>
      <c r="H414" s="2">
        <v>1</v>
      </c>
      <c r="I414" s="2">
        <v>7</v>
      </c>
      <c r="J414" s="15">
        <v>121.84</v>
      </c>
      <c r="K414" s="40">
        <v>0</v>
      </c>
    </row>
    <row r="415" spans="1:11" x14ac:dyDescent="0.25">
      <c r="A415" s="1">
        <v>2378145</v>
      </c>
      <c r="B415" s="1" t="s">
        <v>607</v>
      </c>
      <c r="D415" s="2">
        <v>0</v>
      </c>
      <c r="E415" s="2" t="s">
        <v>0</v>
      </c>
      <c r="F415" s="2" t="s">
        <v>41</v>
      </c>
      <c r="G415" s="1" t="s">
        <v>1968</v>
      </c>
      <c r="H415" s="2">
        <v>1</v>
      </c>
      <c r="I415" s="2">
        <v>7</v>
      </c>
      <c r="J415" s="15">
        <v>153.88999999999999</v>
      </c>
      <c r="K415" s="40">
        <v>0</v>
      </c>
    </row>
    <row r="416" spans="1:11" x14ac:dyDescent="0.25">
      <c r="A416" s="1">
        <v>2378147</v>
      </c>
      <c r="B416" s="1" t="s">
        <v>608</v>
      </c>
      <c r="D416" s="2">
        <v>0</v>
      </c>
      <c r="E416" s="2" t="s">
        <v>0</v>
      </c>
      <c r="F416" s="2" t="s">
        <v>41</v>
      </c>
      <c r="G416" s="1" t="s">
        <v>1968</v>
      </c>
      <c r="H416" s="2">
        <v>1</v>
      </c>
      <c r="I416" s="2">
        <v>7</v>
      </c>
      <c r="J416" s="15">
        <v>177.57</v>
      </c>
      <c r="K416" s="40">
        <v>0</v>
      </c>
    </row>
    <row r="417" spans="1:11" x14ac:dyDescent="0.25">
      <c r="A417" s="1">
        <v>2378148</v>
      </c>
      <c r="B417" s="1" t="s">
        <v>609</v>
      </c>
      <c r="D417" s="2">
        <v>0</v>
      </c>
      <c r="E417" s="2" t="s">
        <v>0</v>
      </c>
      <c r="F417" s="2" t="s">
        <v>41</v>
      </c>
      <c r="G417" s="1" t="s">
        <v>1968</v>
      </c>
      <c r="H417" s="2">
        <v>1</v>
      </c>
      <c r="I417" s="2">
        <v>7</v>
      </c>
      <c r="J417" s="15">
        <v>231.12</v>
      </c>
      <c r="K417" s="40">
        <v>0</v>
      </c>
    </row>
    <row r="418" spans="1:11" x14ac:dyDescent="0.25">
      <c r="A418" s="1">
        <v>2378149</v>
      </c>
      <c r="B418" s="1" t="s">
        <v>610</v>
      </c>
      <c r="D418" s="2">
        <v>0</v>
      </c>
      <c r="E418" s="2" t="s">
        <v>0</v>
      </c>
      <c r="F418" s="2" t="s">
        <v>41</v>
      </c>
      <c r="G418" s="1" t="s">
        <v>1968</v>
      </c>
      <c r="H418" s="2">
        <v>1</v>
      </c>
      <c r="I418" s="2">
        <v>7</v>
      </c>
      <c r="J418" s="15">
        <v>285.77999999999997</v>
      </c>
      <c r="K418" s="40">
        <v>0</v>
      </c>
    </row>
    <row r="419" spans="1:11" x14ac:dyDescent="0.25">
      <c r="A419" s="1">
        <v>2378150</v>
      </c>
      <c r="B419" s="1" t="s">
        <v>611</v>
      </c>
      <c r="D419" s="2">
        <v>0</v>
      </c>
      <c r="E419" s="2" t="s">
        <v>0</v>
      </c>
      <c r="F419" s="2" t="s">
        <v>41</v>
      </c>
      <c r="G419" s="1" t="s">
        <v>1968</v>
      </c>
      <c r="H419" s="2">
        <v>1</v>
      </c>
      <c r="I419" s="2">
        <v>7</v>
      </c>
      <c r="J419" s="15">
        <v>394.35</v>
      </c>
      <c r="K419" s="40">
        <v>0</v>
      </c>
    </row>
    <row r="420" spans="1:11" x14ac:dyDescent="0.25">
      <c r="A420" s="1">
        <v>2378151</v>
      </c>
      <c r="B420" s="1" t="s">
        <v>612</v>
      </c>
      <c r="D420" s="2">
        <v>0</v>
      </c>
      <c r="E420" s="2" t="s">
        <v>0</v>
      </c>
      <c r="F420" s="2" t="s">
        <v>41</v>
      </c>
      <c r="G420" s="1" t="s">
        <v>1968</v>
      </c>
      <c r="H420" s="2">
        <v>1</v>
      </c>
      <c r="I420" s="2">
        <v>7</v>
      </c>
      <c r="J420" s="15">
        <v>510.18</v>
      </c>
      <c r="K420" s="40">
        <v>0</v>
      </c>
    </row>
    <row r="421" spans="1:11" x14ac:dyDescent="0.25">
      <c r="A421" s="1">
        <v>1542181</v>
      </c>
      <c r="B421" s="1" t="s">
        <v>354</v>
      </c>
      <c r="D421" s="2">
        <v>0</v>
      </c>
      <c r="E421" s="2" t="s">
        <v>0</v>
      </c>
      <c r="F421" s="2" t="s">
        <v>41</v>
      </c>
      <c r="G421" s="1" t="s">
        <v>1968</v>
      </c>
      <c r="H421" s="2">
        <v>1</v>
      </c>
      <c r="I421" s="2">
        <v>7</v>
      </c>
      <c r="J421" s="15">
        <v>13.28</v>
      </c>
      <c r="K421" s="40">
        <v>0</v>
      </c>
    </row>
    <row r="422" spans="1:11" x14ac:dyDescent="0.25">
      <c r="A422" s="1">
        <v>1123137</v>
      </c>
      <c r="B422" s="1" t="s">
        <v>355</v>
      </c>
      <c r="D422" s="2">
        <v>0</v>
      </c>
      <c r="E422" s="2" t="s">
        <v>0</v>
      </c>
      <c r="F422" s="2" t="s">
        <v>41</v>
      </c>
      <c r="G422" s="1" t="s">
        <v>1968</v>
      </c>
      <c r="H422" s="2">
        <v>1</v>
      </c>
      <c r="I422" s="2">
        <v>7</v>
      </c>
      <c r="J422" s="15">
        <v>32.54</v>
      </c>
      <c r="K422" s="40">
        <v>0</v>
      </c>
    </row>
    <row r="423" spans="1:11" x14ac:dyDescent="0.25">
      <c r="A423" s="1">
        <v>1123136</v>
      </c>
      <c r="B423" s="1" t="s">
        <v>356</v>
      </c>
      <c r="D423" s="2">
        <v>0</v>
      </c>
      <c r="E423" s="2" t="s">
        <v>0</v>
      </c>
      <c r="F423" s="2" t="s">
        <v>41</v>
      </c>
      <c r="G423" s="1" t="s">
        <v>1968</v>
      </c>
      <c r="H423" s="2">
        <v>1</v>
      </c>
      <c r="I423" s="2">
        <v>7</v>
      </c>
      <c r="J423" s="15">
        <v>15.07</v>
      </c>
      <c r="K423" s="40">
        <v>0</v>
      </c>
    </row>
    <row r="424" spans="1:11" x14ac:dyDescent="0.25">
      <c r="A424" s="1">
        <v>2245399</v>
      </c>
      <c r="B424" s="1" t="s">
        <v>587</v>
      </c>
      <c r="D424" s="2">
        <v>0</v>
      </c>
      <c r="E424" s="2" t="s">
        <v>0</v>
      </c>
      <c r="F424" s="2" t="s">
        <v>42</v>
      </c>
      <c r="G424" s="1" t="s">
        <v>1968</v>
      </c>
      <c r="H424" s="2">
        <v>1</v>
      </c>
      <c r="I424" s="2">
        <v>7</v>
      </c>
      <c r="J424" s="15">
        <v>18.52</v>
      </c>
      <c r="K424" s="40">
        <v>0</v>
      </c>
    </row>
    <row r="425" spans="1:11" x14ac:dyDescent="0.25">
      <c r="A425" s="1">
        <v>2218025</v>
      </c>
      <c r="B425" s="1" t="s">
        <v>357</v>
      </c>
      <c r="D425" s="2">
        <v>0</v>
      </c>
      <c r="E425" s="2" t="s">
        <v>0</v>
      </c>
      <c r="F425" s="2" t="s">
        <v>40</v>
      </c>
      <c r="G425" s="1" t="s">
        <v>1968</v>
      </c>
      <c r="H425" s="2">
        <v>1</v>
      </c>
      <c r="I425" s="2">
        <v>7</v>
      </c>
      <c r="J425" s="15">
        <v>7.62</v>
      </c>
      <c r="K425" s="40">
        <v>0</v>
      </c>
    </row>
    <row r="426" spans="1:11" x14ac:dyDescent="0.25">
      <c r="A426" s="1">
        <v>2218030</v>
      </c>
      <c r="B426" s="1" t="s">
        <v>358</v>
      </c>
      <c r="D426" s="2">
        <v>0</v>
      </c>
      <c r="E426" s="2" t="s">
        <v>56</v>
      </c>
      <c r="F426" s="2" t="s">
        <v>40</v>
      </c>
      <c r="G426" s="1" t="s">
        <v>1968</v>
      </c>
      <c r="H426" s="2">
        <v>1</v>
      </c>
      <c r="I426" s="2">
        <v>7</v>
      </c>
      <c r="J426" s="15">
        <v>0.74</v>
      </c>
      <c r="K426" s="40">
        <v>0</v>
      </c>
    </row>
    <row r="427" spans="1:11" x14ac:dyDescent="0.25">
      <c r="A427" s="1">
        <v>2218028</v>
      </c>
      <c r="B427" s="1" t="s">
        <v>359</v>
      </c>
      <c r="D427" s="2">
        <v>0</v>
      </c>
      <c r="E427" s="2" t="s">
        <v>0</v>
      </c>
      <c r="F427" s="2" t="s">
        <v>40</v>
      </c>
      <c r="G427" s="1" t="s">
        <v>1968</v>
      </c>
      <c r="H427" s="2">
        <v>1</v>
      </c>
      <c r="I427" s="2">
        <v>7</v>
      </c>
      <c r="J427" s="15">
        <v>0.52</v>
      </c>
      <c r="K427" s="40">
        <v>0</v>
      </c>
    </row>
    <row r="428" spans="1:11" x14ac:dyDescent="0.25">
      <c r="A428" s="1">
        <v>2218162</v>
      </c>
      <c r="B428" s="1" t="s">
        <v>360</v>
      </c>
      <c r="D428" s="2">
        <v>0</v>
      </c>
      <c r="E428" s="2" t="s">
        <v>0</v>
      </c>
      <c r="F428" s="2" t="s">
        <v>40</v>
      </c>
      <c r="G428" s="1" t="s">
        <v>786</v>
      </c>
      <c r="H428" s="2">
        <v>1</v>
      </c>
      <c r="I428" s="2">
        <v>7</v>
      </c>
      <c r="K428" s="40">
        <v>0</v>
      </c>
    </row>
    <row r="429" spans="1:11" x14ac:dyDescent="0.25">
      <c r="A429" s="1">
        <v>2218111</v>
      </c>
      <c r="B429" s="1" t="s">
        <v>361</v>
      </c>
      <c r="D429" s="2">
        <v>0</v>
      </c>
      <c r="E429" s="2" t="s">
        <v>0</v>
      </c>
      <c r="F429" s="2" t="s">
        <v>40</v>
      </c>
      <c r="G429" s="1" t="s">
        <v>1968</v>
      </c>
      <c r="H429" s="2">
        <v>1</v>
      </c>
      <c r="I429" s="2">
        <v>7</v>
      </c>
      <c r="J429" s="15">
        <v>5.0599999999999996</v>
      </c>
      <c r="K429" s="40">
        <v>0</v>
      </c>
    </row>
    <row r="430" spans="1:11" x14ac:dyDescent="0.25">
      <c r="A430" s="1">
        <v>2218110</v>
      </c>
      <c r="B430" s="1" t="s">
        <v>362</v>
      </c>
      <c r="D430" s="2">
        <v>0</v>
      </c>
      <c r="E430" s="2" t="s">
        <v>0</v>
      </c>
      <c r="F430" s="2" t="s">
        <v>40</v>
      </c>
      <c r="G430" s="1" t="s">
        <v>1968</v>
      </c>
      <c r="H430" s="2">
        <v>1</v>
      </c>
      <c r="I430" s="2">
        <v>7</v>
      </c>
      <c r="J430" s="15">
        <v>4</v>
      </c>
      <c r="K430" s="40">
        <v>0</v>
      </c>
    </row>
    <row r="431" spans="1:11" x14ac:dyDescent="0.25">
      <c r="A431" s="1">
        <v>2218190</v>
      </c>
      <c r="B431" s="1" t="s">
        <v>363</v>
      </c>
      <c r="D431" s="2">
        <v>0</v>
      </c>
      <c r="E431" s="2" t="s">
        <v>0</v>
      </c>
      <c r="F431" s="2" t="s">
        <v>40</v>
      </c>
      <c r="G431" s="1" t="s">
        <v>1968</v>
      </c>
      <c r="H431" s="2">
        <v>1</v>
      </c>
      <c r="I431" s="2">
        <v>7</v>
      </c>
      <c r="J431" s="15">
        <v>9.73</v>
      </c>
      <c r="K431" s="40">
        <v>0</v>
      </c>
    </row>
    <row r="432" spans="1:11" x14ac:dyDescent="0.25">
      <c r="A432" s="1">
        <v>1122635</v>
      </c>
      <c r="B432" s="1" t="s">
        <v>364</v>
      </c>
      <c r="D432" s="2">
        <v>0</v>
      </c>
      <c r="E432" s="2" t="s">
        <v>0</v>
      </c>
      <c r="F432" s="2" t="s">
        <v>42</v>
      </c>
      <c r="G432" s="1" t="s">
        <v>1968</v>
      </c>
      <c r="H432" s="2">
        <v>1</v>
      </c>
      <c r="I432" s="2">
        <v>7</v>
      </c>
      <c r="J432" s="15">
        <v>112.76</v>
      </c>
      <c r="K432" s="40">
        <v>0</v>
      </c>
    </row>
    <row r="433" spans="1:11" x14ac:dyDescent="0.25">
      <c r="A433" s="1">
        <v>1122634</v>
      </c>
      <c r="B433" s="1" t="s">
        <v>365</v>
      </c>
      <c r="D433" s="2">
        <v>0</v>
      </c>
      <c r="E433" s="2" t="s">
        <v>0</v>
      </c>
      <c r="F433" s="2" t="s">
        <v>42</v>
      </c>
      <c r="G433" s="1" t="s">
        <v>1968</v>
      </c>
      <c r="H433" s="2">
        <v>1</v>
      </c>
      <c r="I433" s="2">
        <v>7</v>
      </c>
      <c r="J433" s="15">
        <v>87.13</v>
      </c>
      <c r="K433" s="40">
        <v>0</v>
      </c>
    </row>
    <row r="434" spans="1:11" x14ac:dyDescent="0.25">
      <c r="A434" s="1">
        <v>1082379</v>
      </c>
      <c r="B434" s="1" t="s">
        <v>366</v>
      </c>
      <c r="D434" s="2">
        <v>0</v>
      </c>
      <c r="E434" s="2" t="s">
        <v>0</v>
      </c>
      <c r="F434" s="2" t="s">
        <v>561</v>
      </c>
      <c r="G434" s="1" t="s">
        <v>1968</v>
      </c>
      <c r="H434" s="2">
        <v>1</v>
      </c>
      <c r="I434" s="2">
        <v>7</v>
      </c>
      <c r="J434" s="15">
        <v>765.04</v>
      </c>
      <c r="K434" s="40">
        <v>0</v>
      </c>
    </row>
    <row r="435" spans="1:11" x14ac:dyDescent="0.25">
      <c r="A435" s="1">
        <v>2374281</v>
      </c>
      <c r="B435" s="1" t="s">
        <v>631</v>
      </c>
      <c r="D435" s="2">
        <v>0</v>
      </c>
      <c r="E435" s="2" t="s">
        <v>0</v>
      </c>
      <c r="F435" s="2" t="s">
        <v>43</v>
      </c>
      <c r="G435" s="1" t="s">
        <v>1968</v>
      </c>
      <c r="H435" s="2">
        <v>1</v>
      </c>
      <c r="I435" s="2">
        <v>7</v>
      </c>
      <c r="J435" s="15">
        <v>17.64</v>
      </c>
      <c r="K435" s="40">
        <v>0</v>
      </c>
    </row>
    <row r="436" spans="1:11" x14ac:dyDescent="0.25">
      <c r="A436" s="1">
        <v>1016889</v>
      </c>
      <c r="B436" s="1" t="s">
        <v>580</v>
      </c>
      <c r="D436" s="2">
        <v>0</v>
      </c>
      <c r="E436" s="2" t="s">
        <v>0</v>
      </c>
      <c r="F436" s="2" t="s">
        <v>41</v>
      </c>
      <c r="G436" s="1" t="s">
        <v>786</v>
      </c>
      <c r="H436" s="2">
        <v>1</v>
      </c>
      <c r="I436" s="2">
        <v>7</v>
      </c>
      <c r="J436" s="15">
        <v>623.28</v>
      </c>
      <c r="K436" s="40">
        <v>0</v>
      </c>
    </row>
    <row r="437" spans="1:11" x14ac:dyDescent="0.25">
      <c r="A437" s="1">
        <v>1016083</v>
      </c>
      <c r="B437" s="1" t="s">
        <v>367</v>
      </c>
      <c r="D437" s="2">
        <v>0</v>
      </c>
      <c r="E437" s="2" t="s">
        <v>0</v>
      </c>
      <c r="F437" s="2" t="s">
        <v>41</v>
      </c>
      <c r="G437" s="1" t="s">
        <v>1968</v>
      </c>
      <c r="H437" s="2">
        <v>1</v>
      </c>
      <c r="I437" s="2">
        <v>7</v>
      </c>
      <c r="J437" s="15">
        <v>4.92</v>
      </c>
      <c r="K437" s="40">
        <v>0</v>
      </c>
    </row>
    <row r="438" spans="1:11" x14ac:dyDescent="0.25">
      <c r="A438" s="1">
        <v>1097662</v>
      </c>
      <c r="B438" s="1" t="s">
        <v>368</v>
      </c>
      <c r="D438" s="2">
        <v>0</v>
      </c>
      <c r="E438" s="2" t="s">
        <v>0</v>
      </c>
      <c r="F438" s="2" t="s">
        <v>561</v>
      </c>
      <c r="G438" s="1" t="s">
        <v>1968</v>
      </c>
      <c r="H438" s="2">
        <v>1</v>
      </c>
      <c r="I438" s="2">
        <v>7</v>
      </c>
      <c r="J438" s="15">
        <v>457.88</v>
      </c>
      <c r="K438" s="40">
        <v>0</v>
      </c>
    </row>
    <row r="439" spans="1:11" x14ac:dyDescent="0.25">
      <c r="A439" s="1">
        <v>1243494</v>
      </c>
      <c r="B439" s="1" t="s">
        <v>369</v>
      </c>
      <c r="D439" s="2">
        <v>0</v>
      </c>
      <c r="E439" s="2" t="s">
        <v>0</v>
      </c>
      <c r="F439" s="2" t="s">
        <v>561</v>
      </c>
      <c r="G439" s="1" t="s">
        <v>1968</v>
      </c>
      <c r="H439" s="2">
        <v>1</v>
      </c>
      <c r="I439" s="2">
        <v>7</v>
      </c>
      <c r="J439" s="15">
        <v>421.25</v>
      </c>
      <c r="K439" s="40">
        <v>0</v>
      </c>
    </row>
    <row r="440" spans="1:11" x14ac:dyDescent="0.25">
      <c r="A440" s="1">
        <v>2962781</v>
      </c>
      <c r="B440" s="1" t="s">
        <v>370</v>
      </c>
      <c r="D440" s="2">
        <v>0</v>
      </c>
      <c r="E440" s="2" t="s">
        <v>0</v>
      </c>
      <c r="F440" s="2" t="s">
        <v>561</v>
      </c>
      <c r="G440" s="1" t="s">
        <v>1968</v>
      </c>
      <c r="H440" s="2">
        <v>1</v>
      </c>
      <c r="I440" s="2">
        <v>7</v>
      </c>
      <c r="J440" s="15">
        <v>75.03</v>
      </c>
      <c r="K440" s="40">
        <v>0</v>
      </c>
    </row>
    <row r="441" spans="1:11" x14ac:dyDescent="0.25">
      <c r="A441" s="1">
        <v>2962787</v>
      </c>
      <c r="B441" s="1" t="s">
        <v>371</v>
      </c>
      <c r="D441" s="2">
        <v>0</v>
      </c>
      <c r="E441" s="2" t="s">
        <v>0</v>
      </c>
      <c r="F441" s="2" t="s">
        <v>561</v>
      </c>
      <c r="G441" s="1" t="s">
        <v>1968</v>
      </c>
      <c r="H441" s="2">
        <v>1</v>
      </c>
      <c r="I441" s="2">
        <v>7</v>
      </c>
      <c r="J441" s="15">
        <v>96.49</v>
      </c>
      <c r="K441" s="40">
        <v>0</v>
      </c>
    </row>
    <row r="442" spans="1:11" x14ac:dyDescent="0.25">
      <c r="A442" s="1">
        <v>2962159</v>
      </c>
      <c r="B442" s="1" t="s">
        <v>372</v>
      </c>
      <c r="D442" s="2">
        <v>0</v>
      </c>
      <c r="E442" s="2" t="s">
        <v>0</v>
      </c>
      <c r="F442" s="2" t="s">
        <v>561</v>
      </c>
      <c r="G442" s="1" t="s">
        <v>1968</v>
      </c>
      <c r="H442" s="2">
        <v>1</v>
      </c>
      <c r="I442" s="2">
        <v>7</v>
      </c>
      <c r="J442" s="15">
        <v>275.2</v>
      </c>
      <c r="K442" s="40">
        <v>0</v>
      </c>
    </row>
    <row r="443" spans="1:11" x14ac:dyDescent="0.25">
      <c r="A443" s="1">
        <v>1017244</v>
      </c>
      <c r="B443" s="1" t="s">
        <v>1</v>
      </c>
      <c r="D443" s="2">
        <v>0</v>
      </c>
      <c r="E443" s="2" t="s">
        <v>0</v>
      </c>
      <c r="F443" s="2" t="s">
        <v>41</v>
      </c>
      <c r="G443" s="1" t="s">
        <v>1968</v>
      </c>
      <c r="H443" s="2">
        <v>1</v>
      </c>
      <c r="I443" s="2">
        <v>7</v>
      </c>
      <c r="J443" s="15">
        <v>42.19</v>
      </c>
      <c r="K443" s="40">
        <v>0</v>
      </c>
    </row>
    <row r="444" spans="1:11" x14ac:dyDescent="0.25">
      <c r="A444" s="1">
        <v>2256110</v>
      </c>
      <c r="B444" s="1" t="s">
        <v>373</v>
      </c>
      <c r="D444" s="2">
        <v>0</v>
      </c>
      <c r="E444" s="2" t="s">
        <v>0</v>
      </c>
      <c r="F444" s="2" t="s">
        <v>41</v>
      </c>
      <c r="G444" s="1" t="s">
        <v>1968</v>
      </c>
      <c r="H444" s="2">
        <v>1</v>
      </c>
      <c r="I444" s="2">
        <v>7</v>
      </c>
      <c r="J444" s="15">
        <v>51.31</v>
      </c>
      <c r="K444" s="40">
        <v>0</v>
      </c>
    </row>
    <row r="445" spans="1:11" x14ac:dyDescent="0.25">
      <c r="A445" s="1">
        <v>2256112</v>
      </c>
      <c r="B445" s="1" t="s">
        <v>374</v>
      </c>
      <c r="D445" s="2">
        <v>0</v>
      </c>
      <c r="E445" s="2" t="s">
        <v>0</v>
      </c>
      <c r="F445" s="2" t="s">
        <v>41</v>
      </c>
      <c r="G445" s="1" t="s">
        <v>1968</v>
      </c>
      <c r="H445" s="2">
        <v>1</v>
      </c>
      <c r="I445" s="2">
        <v>7</v>
      </c>
      <c r="J445" s="15">
        <v>54.77</v>
      </c>
      <c r="K445" s="40">
        <v>0</v>
      </c>
    </row>
    <row r="446" spans="1:11" x14ac:dyDescent="0.25">
      <c r="A446" s="1">
        <v>2256114</v>
      </c>
      <c r="B446" s="1" t="s">
        <v>375</v>
      </c>
      <c r="D446" s="2">
        <v>0</v>
      </c>
      <c r="E446" s="2" t="s">
        <v>0</v>
      </c>
      <c r="F446" s="2" t="s">
        <v>41</v>
      </c>
      <c r="G446" s="1" t="s">
        <v>1968</v>
      </c>
      <c r="H446" s="2">
        <v>1</v>
      </c>
      <c r="I446" s="2">
        <v>7</v>
      </c>
      <c r="J446" s="15">
        <v>57.9</v>
      </c>
      <c r="K446" s="40">
        <v>0</v>
      </c>
    </row>
    <row r="447" spans="1:11" x14ac:dyDescent="0.25">
      <c r="A447" s="1">
        <v>2256116</v>
      </c>
      <c r="B447" s="1" t="s">
        <v>376</v>
      </c>
      <c r="D447" s="2">
        <v>0</v>
      </c>
      <c r="E447" s="2" t="s">
        <v>0</v>
      </c>
      <c r="F447" s="2" t="s">
        <v>41</v>
      </c>
      <c r="G447" s="1" t="s">
        <v>1968</v>
      </c>
      <c r="H447" s="2">
        <v>1</v>
      </c>
      <c r="I447" s="2">
        <v>7</v>
      </c>
      <c r="J447" s="15">
        <v>59.53</v>
      </c>
      <c r="K447" s="40">
        <v>0</v>
      </c>
    </row>
    <row r="448" spans="1:11" x14ac:dyDescent="0.25">
      <c r="A448" s="1">
        <v>2256108</v>
      </c>
      <c r="B448" s="1" t="s">
        <v>377</v>
      </c>
      <c r="D448" s="2">
        <v>0</v>
      </c>
      <c r="E448" s="2" t="s">
        <v>0</v>
      </c>
      <c r="F448" s="2" t="s">
        <v>41</v>
      </c>
      <c r="G448" s="1" t="s">
        <v>1968</v>
      </c>
      <c r="H448" s="2">
        <v>1</v>
      </c>
      <c r="I448" s="2">
        <v>7</v>
      </c>
      <c r="J448" s="15">
        <v>49.91</v>
      </c>
      <c r="K448" s="40">
        <v>0</v>
      </c>
    </row>
    <row r="449" spans="1:11" x14ac:dyDescent="0.25">
      <c r="A449" s="1">
        <v>2244451</v>
      </c>
      <c r="B449" s="1" t="s">
        <v>378</v>
      </c>
      <c r="D449" s="2">
        <v>0</v>
      </c>
      <c r="E449" s="2" t="s">
        <v>0</v>
      </c>
      <c r="F449" s="2" t="s">
        <v>41</v>
      </c>
      <c r="G449" s="1" t="s">
        <v>2056</v>
      </c>
      <c r="H449" s="2">
        <v>1</v>
      </c>
      <c r="I449" s="2">
        <v>7</v>
      </c>
      <c r="J449" s="15">
        <v>1160.7</v>
      </c>
      <c r="K449" s="40">
        <v>0</v>
      </c>
    </row>
    <row r="450" spans="1:11" x14ac:dyDescent="0.25">
      <c r="A450" s="1">
        <v>2244352</v>
      </c>
      <c r="B450" s="1" t="s">
        <v>379</v>
      </c>
      <c r="D450" s="2">
        <v>0</v>
      </c>
      <c r="E450" s="2" t="s">
        <v>0</v>
      </c>
      <c r="F450" s="2" t="s">
        <v>41</v>
      </c>
      <c r="G450" s="1" t="s">
        <v>2056</v>
      </c>
      <c r="H450" s="2">
        <v>1</v>
      </c>
      <c r="I450" s="2">
        <v>7</v>
      </c>
      <c r="J450" s="15">
        <v>687.94</v>
      </c>
      <c r="K450" s="40">
        <v>0</v>
      </c>
    </row>
    <row r="451" spans="1:11" x14ac:dyDescent="0.25">
      <c r="A451" s="1">
        <v>2244402</v>
      </c>
      <c r="B451" s="1" t="s">
        <v>380</v>
      </c>
      <c r="D451" s="2">
        <v>0</v>
      </c>
      <c r="E451" s="2" t="s">
        <v>0</v>
      </c>
      <c r="F451" s="2" t="s">
        <v>41</v>
      </c>
      <c r="G451" s="1" t="s">
        <v>2056</v>
      </c>
      <c r="H451" s="2">
        <v>1</v>
      </c>
      <c r="I451" s="2">
        <v>7</v>
      </c>
      <c r="J451" s="15">
        <v>846.94</v>
      </c>
      <c r="K451" s="40">
        <v>0</v>
      </c>
    </row>
    <row r="452" spans="1:11" x14ac:dyDescent="0.25">
      <c r="A452" s="1">
        <v>2244452</v>
      </c>
      <c r="B452" s="1" t="s">
        <v>381</v>
      </c>
      <c r="D452" s="2">
        <v>0</v>
      </c>
      <c r="E452" s="2" t="s">
        <v>0</v>
      </c>
      <c r="F452" s="2" t="s">
        <v>41</v>
      </c>
      <c r="G452" s="1" t="s">
        <v>2056</v>
      </c>
      <c r="H452" s="2">
        <v>1</v>
      </c>
      <c r="I452" s="2">
        <v>7</v>
      </c>
      <c r="J452" s="15">
        <v>1072.72</v>
      </c>
      <c r="K452" s="40">
        <v>0</v>
      </c>
    </row>
    <row r="453" spans="1:11" x14ac:dyDescent="0.25">
      <c r="A453" s="1">
        <v>2244353</v>
      </c>
      <c r="B453" s="1" t="s">
        <v>382</v>
      </c>
      <c r="D453" s="2">
        <v>0</v>
      </c>
      <c r="E453" s="2" t="s">
        <v>0</v>
      </c>
      <c r="F453" s="2" t="s">
        <v>41</v>
      </c>
      <c r="G453" s="1" t="s">
        <v>2056</v>
      </c>
      <c r="H453" s="2">
        <v>1</v>
      </c>
      <c r="I453" s="2">
        <v>7</v>
      </c>
      <c r="J453" s="15">
        <v>568.26</v>
      </c>
      <c r="K453" s="40">
        <v>0</v>
      </c>
    </row>
    <row r="454" spans="1:11" x14ac:dyDescent="0.25">
      <c r="A454" s="1">
        <v>2244403</v>
      </c>
      <c r="B454" s="1" t="s">
        <v>383</v>
      </c>
      <c r="D454" s="2">
        <v>0</v>
      </c>
      <c r="E454" s="2" t="s">
        <v>0</v>
      </c>
      <c r="F454" s="2" t="s">
        <v>41</v>
      </c>
      <c r="G454" s="1" t="s">
        <v>2056</v>
      </c>
      <c r="H454" s="2">
        <v>1</v>
      </c>
      <c r="I454" s="2">
        <v>7</v>
      </c>
      <c r="J454" s="15">
        <v>694.72</v>
      </c>
      <c r="K454" s="40">
        <v>0</v>
      </c>
    </row>
    <row r="455" spans="1:11" x14ac:dyDescent="0.25">
      <c r="A455" s="1">
        <v>2244453</v>
      </c>
      <c r="B455" s="1" t="s">
        <v>384</v>
      </c>
      <c r="D455" s="2">
        <v>0</v>
      </c>
      <c r="E455" s="2" t="s">
        <v>0</v>
      </c>
      <c r="F455" s="2" t="s">
        <v>41</v>
      </c>
      <c r="G455" s="1" t="s">
        <v>2056</v>
      </c>
      <c r="H455" s="2">
        <v>1</v>
      </c>
      <c r="I455" s="2">
        <v>7</v>
      </c>
      <c r="J455" s="15">
        <v>973.08</v>
      </c>
      <c r="K455" s="40">
        <v>0</v>
      </c>
    </row>
    <row r="456" spans="1:11" x14ac:dyDescent="0.25">
      <c r="A456" s="1">
        <v>2244503</v>
      </c>
      <c r="B456" s="1" t="s">
        <v>385</v>
      </c>
      <c r="D456" s="2">
        <v>0</v>
      </c>
      <c r="E456" s="2" t="s">
        <v>0</v>
      </c>
      <c r="F456" s="2" t="s">
        <v>41</v>
      </c>
      <c r="G456" s="1" t="s">
        <v>2056</v>
      </c>
      <c r="H456" s="2">
        <v>1</v>
      </c>
      <c r="I456" s="2">
        <v>7</v>
      </c>
      <c r="J456" s="15">
        <v>1072.72</v>
      </c>
      <c r="K456" s="40">
        <v>0</v>
      </c>
    </row>
    <row r="457" spans="1:11" x14ac:dyDescent="0.25">
      <c r="A457" s="1">
        <v>2244303</v>
      </c>
      <c r="B457" s="1" t="s">
        <v>512</v>
      </c>
      <c r="D457" s="2">
        <v>0</v>
      </c>
      <c r="E457" s="2" t="s">
        <v>0</v>
      </c>
      <c r="F457" s="2" t="s">
        <v>41</v>
      </c>
      <c r="G457" s="1" t="s">
        <v>2056</v>
      </c>
      <c r="H457" s="2">
        <v>1</v>
      </c>
      <c r="I457" s="2">
        <v>7</v>
      </c>
      <c r="J457" s="15">
        <v>438.84</v>
      </c>
      <c r="K457" s="40">
        <v>0</v>
      </c>
    </row>
    <row r="458" spans="1:11" x14ac:dyDescent="0.25">
      <c r="A458" s="1">
        <v>2244354</v>
      </c>
      <c r="B458" s="1" t="s">
        <v>386</v>
      </c>
      <c r="D458" s="2">
        <v>0</v>
      </c>
      <c r="E458" s="2" t="s">
        <v>0</v>
      </c>
      <c r="F458" s="2" t="s">
        <v>41</v>
      </c>
      <c r="G458" s="1" t="s">
        <v>2056</v>
      </c>
      <c r="H458" s="2">
        <v>1</v>
      </c>
      <c r="I458" s="2">
        <v>7</v>
      </c>
      <c r="J458" s="15">
        <v>475.53</v>
      </c>
      <c r="K458" s="40">
        <v>0</v>
      </c>
    </row>
    <row r="459" spans="1:11" x14ac:dyDescent="0.25">
      <c r="A459" s="1">
        <v>2244454</v>
      </c>
      <c r="B459" s="1" t="s">
        <v>387</v>
      </c>
      <c r="D459" s="2">
        <v>0</v>
      </c>
      <c r="E459" s="2" t="s">
        <v>0</v>
      </c>
      <c r="F459" s="2" t="s">
        <v>41</v>
      </c>
      <c r="G459" s="1" t="s">
        <v>2056</v>
      </c>
      <c r="H459" s="2">
        <v>1</v>
      </c>
      <c r="I459" s="2">
        <v>7</v>
      </c>
      <c r="J459" s="15">
        <v>803.48</v>
      </c>
      <c r="K459" s="40">
        <v>0</v>
      </c>
    </row>
    <row r="460" spans="1:11" x14ac:dyDescent="0.25">
      <c r="A460" s="1">
        <v>2244355</v>
      </c>
      <c r="B460" s="1" t="s">
        <v>388</v>
      </c>
      <c r="D460" s="2">
        <v>0</v>
      </c>
      <c r="E460" s="2" t="s">
        <v>0</v>
      </c>
      <c r="F460" s="2" t="s">
        <v>41</v>
      </c>
      <c r="G460" s="1" t="s">
        <v>2056</v>
      </c>
      <c r="H460" s="2">
        <v>1</v>
      </c>
      <c r="I460" s="2">
        <v>7</v>
      </c>
      <c r="J460" s="15">
        <v>411.28</v>
      </c>
      <c r="K460" s="40">
        <v>0</v>
      </c>
    </row>
    <row r="461" spans="1:11" x14ac:dyDescent="0.25">
      <c r="A461" s="1">
        <v>2244405</v>
      </c>
      <c r="B461" s="1" t="s">
        <v>389</v>
      </c>
      <c r="D461" s="2">
        <v>0</v>
      </c>
      <c r="E461" s="2" t="s">
        <v>0</v>
      </c>
      <c r="F461" s="2" t="s">
        <v>41</v>
      </c>
      <c r="G461" s="1" t="s">
        <v>2056</v>
      </c>
      <c r="H461" s="2">
        <v>1</v>
      </c>
      <c r="I461" s="2">
        <v>7</v>
      </c>
      <c r="J461" s="15">
        <v>544.84</v>
      </c>
      <c r="K461" s="40">
        <v>0</v>
      </c>
    </row>
    <row r="462" spans="1:11" x14ac:dyDescent="0.25">
      <c r="A462" s="1">
        <v>1529324</v>
      </c>
      <c r="B462" s="1" t="s">
        <v>390</v>
      </c>
      <c r="D462" s="2">
        <v>0</v>
      </c>
      <c r="E462" s="2" t="s">
        <v>0</v>
      </c>
      <c r="F462" s="2" t="s">
        <v>42</v>
      </c>
      <c r="G462" s="1" t="s">
        <v>1968</v>
      </c>
      <c r="H462" s="2">
        <v>1</v>
      </c>
      <c r="I462" s="2">
        <v>7</v>
      </c>
      <c r="J462" s="15">
        <v>240</v>
      </c>
      <c r="K462" s="40">
        <v>0</v>
      </c>
    </row>
    <row r="463" spans="1:11" x14ac:dyDescent="0.25">
      <c r="A463" s="1">
        <v>1529323</v>
      </c>
      <c r="B463" s="1" t="s">
        <v>391</v>
      </c>
      <c r="D463" s="2">
        <v>0</v>
      </c>
      <c r="E463" s="2" t="s">
        <v>0</v>
      </c>
      <c r="F463" s="2" t="s">
        <v>42</v>
      </c>
      <c r="G463" s="1" t="s">
        <v>1968</v>
      </c>
      <c r="H463" s="2">
        <v>1</v>
      </c>
      <c r="I463" s="2">
        <v>7</v>
      </c>
      <c r="J463" s="15">
        <v>263.8</v>
      </c>
      <c r="K463" s="40">
        <v>0</v>
      </c>
    </row>
    <row r="464" spans="1:11" x14ac:dyDescent="0.25">
      <c r="A464" s="1">
        <v>1076220</v>
      </c>
      <c r="B464" s="1" t="s">
        <v>556</v>
      </c>
      <c r="D464" s="2">
        <v>0</v>
      </c>
      <c r="E464" s="2" t="s">
        <v>0</v>
      </c>
      <c r="F464" s="2" t="s">
        <v>41</v>
      </c>
      <c r="G464" s="1" t="s">
        <v>1968</v>
      </c>
      <c r="H464" s="2">
        <v>1</v>
      </c>
      <c r="I464" s="2">
        <v>7</v>
      </c>
      <c r="J464" s="15">
        <v>123.86</v>
      </c>
      <c r="K464" s="40">
        <v>0</v>
      </c>
    </row>
    <row r="465" spans="1:11" x14ac:dyDescent="0.25">
      <c r="A465" s="1">
        <v>1011644</v>
      </c>
      <c r="B465" s="1" t="s">
        <v>392</v>
      </c>
      <c r="D465" s="2">
        <v>0</v>
      </c>
      <c r="E465" s="2" t="s">
        <v>0</v>
      </c>
      <c r="F465" s="2" t="s">
        <v>41</v>
      </c>
      <c r="G465" s="1" t="s">
        <v>1968</v>
      </c>
      <c r="H465" s="2">
        <v>1</v>
      </c>
      <c r="I465" s="2">
        <v>7</v>
      </c>
      <c r="J465" s="15">
        <v>21.77</v>
      </c>
      <c r="K465" s="40">
        <v>0</v>
      </c>
    </row>
    <row r="466" spans="1:11" x14ac:dyDescent="0.25">
      <c r="A466" s="1">
        <v>2961037</v>
      </c>
      <c r="B466" s="1" t="s">
        <v>393</v>
      </c>
      <c r="D466" s="2">
        <v>0</v>
      </c>
      <c r="E466" s="2" t="s">
        <v>0</v>
      </c>
      <c r="F466" s="2" t="s">
        <v>561</v>
      </c>
      <c r="G466" s="1" t="s">
        <v>1968</v>
      </c>
      <c r="H466" s="2">
        <v>1</v>
      </c>
      <c r="I466" s="2">
        <v>7</v>
      </c>
      <c r="J466" s="15">
        <v>11.62</v>
      </c>
      <c r="K466" s="40">
        <v>0</v>
      </c>
    </row>
    <row r="467" spans="1:11" x14ac:dyDescent="0.25">
      <c r="A467" s="1">
        <v>1018433</v>
      </c>
      <c r="B467" s="1" t="s">
        <v>394</v>
      </c>
      <c r="D467" s="2">
        <v>0</v>
      </c>
      <c r="E467" s="2" t="s">
        <v>0</v>
      </c>
      <c r="F467" s="2" t="s">
        <v>42</v>
      </c>
      <c r="G467" s="1" t="s">
        <v>1968</v>
      </c>
      <c r="H467" s="2">
        <v>1</v>
      </c>
      <c r="I467" s="2">
        <v>7</v>
      </c>
      <c r="J467" s="15">
        <v>29.38</v>
      </c>
      <c r="K467" s="40">
        <v>0</v>
      </c>
    </row>
    <row r="468" spans="1:11" x14ac:dyDescent="0.25">
      <c r="A468" s="1">
        <v>2308327</v>
      </c>
      <c r="B468" s="1" t="s">
        <v>525</v>
      </c>
      <c r="D468" s="2">
        <v>0</v>
      </c>
      <c r="E468" s="2" t="s">
        <v>0</v>
      </c>
      <c r="F468" s="2" t="s">
        <v>42</v>
      </c>
      <c r="G468" s="1" t="s">
        <v>1968</v>
      </c>
      <c r="H468" s="2">
        <v>1</v>
      </c>
      <c r="I468" s="2">
        <v>7</v>
      </c>
      <c r="J468" s="15">
        <v>29.25</v>
      </c>
      <c r="K468" s="40">
        <v>0</v>
      </c>
    </row>
    <row r="469" spans="1:11" x14ac:dyDescent="0.25">
      <c r="A469" s="1">
        <v>2962314</v>
      </c>
      <c r="B469" s="1" t="s">
        <v>12</v>
      </c>
      <c r="D469" s="2">
        <v>0</v>
      </c>
      <c r="E469" s="2" t="s">
        <v>0</v>
      </c>
      <c r="F469" s="2" t="s">
        <v>561</v>
      </c>
      <c r="G469" s="1" t="s">
        <v>2058</v>
      </c>
      <c r="H469" s="2">
        <v>1</v>
      </c>
      <c r="I469" s="2">
        <v>14</v>
      </c>
      <c r="J469" s="15">
        <v>72.37</v>
      </c>
      <c r="K469" s="40">
        <v>0</v>
      </c>
    </row>
    <row r="470" spans="1:11" x14ac:dyDescent="0.25">
      <c r="A470" s="1">
        <v>2962315</v>
      </c>
      <c r="B470" s="1" t="s">
        <v>13</v>
      </c>
      <c r="D470" s="2">
        <v>0</v>
      </c>
      <c r="E470" s="2" t="s">
        <v>0</v>
      </c>
      <c r="F470" s="2" t="s">
        <v>561</v>
      </c>
      <c r="G470" s="1" t="s">
        <v>2058</v>
      </c>
      <c r="H470" s="2">
        <v>1</v>
      </c>
      <c r="I470" s="2">
        <v>14</v>
      </c>
      <c r="J470" s="15">
        <v>76.61</v>
      </c>
      <c r="K470" s="40">
        <v>0</v>
      </c>
    </row>
    <row r="471" spans="1:11" x14ac:dyDescent="0.25">
      <c r="A471" s="1">
        <v>2962316</v>
      </c>
      <c r="B471" s="1" t="s">
        <v>14</v>
      </c>
      <c r="D471" s="2">
        <v>0</v>
      </c>
      <c r="E471" s="2" t="s">
        <v>0</v>
      </c>
      <c r="F471" s="2" t="s">
        <v>561</v>
      </c>
      <c r="G471" s="1" t="s">
        <v>2058</v>
      </c>
      <c r="H471" s="2">
        <v>1</v>
      </c>
      <c r="I471" s="2">
        <v>14</v>
      </c>
      <c r="J471" s="15">
        <v>80.25</v>
      </c>
      <c r="K471" s="40">
        <v>0</v>
      </c>
    </row>
    <row r="472" spans="1:11" x14ac:dyDescent="0.25">
      <c r="A472" s="1">
        <v>2962115</v>
      </c>
      <c r="B472" s="1" t="s">
        <v>24</v>
      </c>
      <c r="D472" s="2">
        <v>0</v>
      </c>
      <c r="E472" s="2" t="s">
        <v>0</v>
      </c>
      <c r="F472" s="2" t="s">
        <v>561</v>
      </c>
      <c r="G472" s="1" t="s">
        <v>2058</v>
      </c>
      <c r="H472" s="2">
        <v>1</v>
      </c>
      <c r="I472" s="2">
        <v>14</v>
      </c>
      <c r="J472" s="15">
        <v>49.87</v>
      </c>
      <c r="K472" s="40">
        <v>0</v>
      </c>
    </row>
    <row r="473" spans="1:11" x14ac:dyDescent="0.25">
      <c r="A473" s="1">
        <v>2962409</v>
      </c>
      <c r="B473" s="1" t="s">
        <v>18</v>
      </c>
      <c r="D473" s="2">
        <v>0</v>
      </c>
      <c r="E473" s="2" t="s">
        <v>0</v>
      </c>
      <c r="F473" s="2" t="s">
        <v>561</v>
      </c>
      <c r="G473" s="1" t="s">
        <v>2058</v>
      </c>
      <c r="H473" s="2">
        <v>1</v>
      </c>
      <c r="I473" s="2">
        <v>14</v>
      </c>
      <c r="J473" s="15">
        <v>223.4</v>
      </c>
      <c r="K473" s="40">
        <v>0</v>
      </c>
    </row>
    <row r="474" spans="1:11" x14ac:dyDescent="0.25">
      <c r="A474" s="1">
        <v>2962732</v>
      </c>
      <c r="B474" s="1" t="s">
        <v>395</v>
      </c>
      <c r="D474" s="2">
        <v>0</v>
      </c>
      <c r="E474" s="2" t="s">
        <v>0</v>
      </c>
      <c r="F474" s="2" t="s">
        <v>561</v>
      </c>
      <c r="G474" s="1" t="s">
        <v>1968</v>
      </c>
      <c r="H474" s="2">
        <v>1</v>
      </c>
      <c r="I474" s="2">
        <v>7</v>
      </c>
      <c r="J474" s="15">
        <v>532.13</v>
      </c>
      <c r="K474" s="40">
        <v>0</v>
      </c>
    </row>
    <row r="475" spans="1:11" x14ac:dyDescent="0.25">
      <c r="A475" s="1">
        <v>2962773</v>
      </c>
      <c r="B475" s="1" t="s">
        <v>21</v>
      </c>
      <c r="D475" s="2">
        <v>0</v>
      </c>
      <c r="E475" s="2" t="s">
        <v>0</v>
      </c>
      <c r="F475" s="2" t="s">
        <v>561</v>
      </c>
      <c r="G475" s="1" t="s">
        <v>2058</v>
      </c>
      <c r="H475" s="2">
        <v>1</v>
      </c>
      <c r="I475" s="2">
        <v>14</v>
      </c>
      <c r="J475" s="15">
        <v>451.9</v>
      </c>
      <c r="K475" s="40">
        <v>0</v>
      </c>
    </row>
    <row r="476" spans="1:11" x14ac:dyDescent="0.25">
      <c r="A476" s="1">
        <v>1082383</v>
      </c>
      <c r="B476" s="1" t="s">
        <v>396</v>
      </c>
      <c r="D476" s="2">
        <v>0</v>
      </c>
      <c r="E476" s="2" t="s">
        <v>0</v>
      </c>
      <c r="F476" s="2" t="s">
        <v>561</v>
      </c>
      <c r="G476" s="1" t="s">
        <v>1968</v>
      </c>
      <c r="H476" s="2">
        <v>1</v>
      </c>
      <c r="I476" s="2">
        <v>7</v>
      </c>
      <c r="J476" s="15">
        <v>189.92</v>
      </c>
      <c r="K476" s="40">
        <v>0</v>
      </c>
    </row>
    <row r="477" spans="1:11" x14ac:dyDescent="0.25">
      <c r="A477" s="1">
        <v>2962117</v>
      </c>
      <c r="B477" s="1" t="s">
        <v>10</v>
      </c>
      <c r="D477" s="2">
        <v>0</v>
      </c>
      <c r="E477" s="2" t="s">
        <v>0</v>
      </c>
      <c r="F477" s="2" t="s">
        <v>561</v>
      </c>
      <c r="G477" s="1" t="s">
        <v>2058</v>
      </c>
      <c r="H477" s="2">
        <v>1</v>
      </c>
      <c r="I477" s="2">
        <v>14</v>
      </c>
      <c r="J477" s="15">
        <v>279.05</v>
      </c>
      <c r="K477" s="40">
        <v>0</v>
      </c>
    </row>
    <row r="478" spans="1:11" x14ac:dyDescent="0.25">
      <c r="A478" s="1">
        <v>2962116</v>
      </c>
      <c r="B478" s="1" t="s">
        <v>9</v>
      </c>
      <c r="D478" s="2">
        <v>0</v>
      </c>
      <c r="E478" s="2" t="s">
        <v>0</v>
      </c>
      <c r="F478" s="2" t="s">
        <v>561</v>
      </c>
      <c r="G478" s="1" t="s">
        <v>2058</v>
      </c>
      <c r="H478" s="2">
        <v>1</v>
      </c>
      <c r="I478" s="2">
        <v>14</v>
      </c>
      <c r="J478" s="15">
        <v>279.05</v>
      </c>
      <c r="K478" s="40">
        <v>0</v>
      </c>
    </row>
    <row r="479" spans="1:11" x14ac:dyDescent="0.25">
      <c r="A479" s="1">
        <v>2285851</v>
      </c>
      <c r="B479" s="1" t="s">
        <v>397</v>
      </c>
      <c r="D479" s="2">
        <v>0</v>
      </c>
      <c r="E479" s="2" t="s">
        <v>0</v>
      </c>
      <c r="F479" s="2" t="s">
        <v>40</v>
      </c>
      <c r="G479" s="1" t="s">
        <v>786</v>
      </c>
      <c r="H479" s="2">
        <v>1</v>
      </c>
      <c r="I479" s="2">
        <v>7</v>
      </c>
      <c r="K479" s="40">
        <v>0</v>
      </c>
    </row>
    <row r="480" spans="1:11" x14ac:dyDescent="0.25">
      <c r="A480" s="1">
        <v>2285854</v>
      </c>
      <c r="B480" s="1" t="s">
        <v>398</v>
      </c>
      <c r="D480" s="2">
        <v>0</v>
      </c>
      <c r="E480" s="2" t="s">
        <v>0</v>
      </c>
      <c r="F480" s="2" t="s">
        <v>40</v>
      </c>
      <c r="G480" s="1" t="s">
        <v>1968</v>
      </c>
      <c r="H480" s="2">
        <v>1</v>
      </c>
      <c r="I480" s="2">
        <v>7</v>
      </c>
      <c r="J480" s="15">
        <v>38.9</v>
      </c>
      <c r="K480" s="40">
        <v>0</v>
      </c>
    </row>
    <row r="481" spans="1:11" x14ac:dyDescent="0.25">
      <c r="A481" s="1">
        <v>2286368</v>
      </c>
      <c r="B481" s="1" t="s">
        <v>399</v>
      </c>
      <c r="D481" s="2">
        <v>0</v>
      </c>
      <c r="E481" s="2" t="s">
        <v>0</v>
      </c>
      <c r="F481" s="2" t="s">
        <v>40</v>
      </c>
      <c r="G481" s="1" t="s">
        <v>1968</v>
      </c>
      <c r="H481" s="2">
        <v>1</v>
      </c>
      <c r="I481" s="2">
        <v>7</v>
      </c>
      <c r="J481" s="15">
        <v>56.61</v>
      </c>
      <c r="K481" s="40">
        <v>0</v>
      </c>
    </row>
    <row r="482" spans="1:11" x14ac:dyDescent="0.25">
      <c r="A482" s="1">
        <v>2286372</v>
      </c>
      <c r="B482" s="1" t="s">
        <v>400</v>
      </c>
      <c r="D482" s="2">
        <v>0</v>
      </c>
      <c r="E482" s="2" t="s">
        <v>0</v>
      </c>
      <c r="F482" s="2" t="s">
        <v>40</v>
      </c>
      <c r="G482" s="1" t="s">
        <v>1968</v>
      </c>
      <c r="H482" s="2">
        <v>1</v>
      </c>
      <c r="I482" s="2">
        <v>7</v>
      </c>
      <c r="J482" s="15">
        <v>69.67</v>
      </c>
      <c r="K482" s="40">
        <v>0</v>
      </c>
    </row>
    <row r="483" spans="1:11" x14ac:dyDescent="0.25">
      <c r="A483" s="1">
        <v>2050129</v>
      </c>
      <c r="B483" s="1" t="s">
        <v>401</v>
      </c>
      <c r="D483" s="2">
        <v>0</v>
      </c>
      <c r="E483" s="2" t="s">
        <v>0</v>
      </c>
      <c r="F483" s="2" t="s">
        <v>41</v>
      </c>
      <c r="G483" s="1" t="s">
        <v>1968</v>
      </c>
      <c r="H483" s="2">
        <v>1</v>
      </c>
      <c r="I483" s="2">
        <v>7</v>
      </c>
      <c r="J483" s="15">
        <v>29.33</v>
      </c>
      <c r="K483" s="40">
        <v>0</v>
      </c>
    </row>
    <row r="484" spans="1:11" x14ac:dyDescent="0.25">
      <c r="A484" s="1">
        <v>2962412</v>
      </c>
      <c r="B484" s="1" t="s">
        <v>25</v>
      </c>
      <c r="D484" s="2">
        <v>0</v>
      </c>
      <c r="E484" s="2" t="s">
        <v>0</v>
      </c>
      <c r="F484" s="2" t="s">
        <v>561</v>
      </c>
      <c r="G484" s="1" t="s">
        <v>2058</v>
      </c>
      <c r="H484" s="2">
        <v>1</v>
      </c>
      <c r="I484" s="2">
        <v>14</v>
      </c>
      <c r="J484" s="15">
        <v>435.66</v>
      </c>
      <c r="K484" s="40">
        <v>0</v>
      </c>
    </row>
    <row r="485" spans="1:11" x14ac:dyDescent="0.25">
      <c r="A485" s="1">
        <v>1090283</v>
      </c>
      <c r="B485" s="1" t="s">
        <v>402</v>
      </c>
      <c r="D485" s="2">
        <v>0</v>
      </c>
      <c r="E485" s="2" t="s">
        <v>302</v>
      </c>
      <c r="F485" s="2" t="s">
        <v>41</v>
      </c>
      <c r="G485" s="1" t="s">
        <v>1968</v>
      </c>
      <c r="H485" s="2">
        <v>1</v>
      </c>
      <c r="I485" s="2">
        <v>7</v>
      </c>
      <c r="J485" s="15">
        <v>21.53</v>
      </c>
      <c r="K485" s="40">
        <v>0</v>
      </c>
    </row>
    <row r="486" spans="1:11" x14ac:dyDescent="0.25">
      <c r="A486" s="1">
        <v>1576141</v>
      </c>
      <c r="B486" s="1" t="s">
        <v>403</v>
      </c>
      <c r="D486" s="2">
        <v>0</v>
      </c>
      <c r="E486" s="2" t="s">
        <v>56</v>
      </c>
      <c r="F486" s="2" t="s">
        <v>43</v>
      </c>
      <c r="G486" s="1" t="s">
        <v>1968</v>
      </c>
      <c r="H486" s="2">
        <v>1</v>
      </c>
      <c r="I486" s="2">
        <v>7</v>
      </c>
      <c r="J486" s="15">
        <v>10.42</v>
      </c>
      <c r="K486" s="40">
        <v>0</v>
      </c>
    </row>
    <row r="487" spans="1:11" x14ac:dyDescent="0.25">
      <c r="A487" s="1">
        <v>1011739</v>
      </c>
      <c r="B487" s="1" t="s">
        <v>404</v>
      </c>
      <c r="D487" s="2">
        <v>0</v>
      </c>
      <c r="E487" s="2" t="s">
        <v>56</v>
      </c>
      <c r="F487" s="2" t="s">
        <v>43</v>
      </c>
      <c r="G487" s="1" t="s">
        <v>1968</v>
      </c>
      <c r="H487" s="2">
        <v>1</v>
      </c>
      <c r="I487" s="2">
        <v>7</v>
      </c>
      <c r="J487" s="15">
        <v>3.22</v>
      </c>
      <c r="K487" s="40">
        <v>0</v>
      </c>
    </row>
    <row r="488" spans="1:11" x14ac:dyDescent="0.25">
      <c r="A488" s="1">
        <v>1011741</v>
      </c>
      <c r="B488" s="1" t="s">
        <v>545</v>
      </c>
      <c r="D488" s="2">
        <v>0</v>
      </c>
      <c r="E488" s="2" t="s">
        <v>56</v>
      </c>
      <c r="F488" s="2" t="s">
        <v>43</v>
      </c>
      <c r="G488" s="1" t="s">
        <v>1968</v>
      </c>
      <c r="H488" s="2">
        <v>1</v>
      </c>
      <c r="I488" s="2">
        <v>7</v>
      </c>
      <c r="J488" s="15">
        <v>4.5599999999999996</v>
      </c>
      <c r="K488" s="40">
        <v>0</v>
      </c>
    </row>
    <row r="489" spans="1:11" x14ac:dyDescent="0.25">
      <c r="A489" s="1">
        <v>1011740</v>
      </c>
      <c r="B489" s="1" t="s">
        <v>546</v>
      </c>
      <c r="D489" s="2">
        <v>0</v>
      </c>
      <c r="E489" s="2" t="s">
        <v>56</v>
      </c>
      <c r="F489" s="2" t="s">
        <v>43</v>
      </c>
      <c r="G489" s="1" t="s">
        <v>1968</v>
      </c>
      <c r="H489" s="2">
        <v>1</v>
      </c>
      <c r="I489" s="2">
        <v>7</v>
      </c>
      <c r="J489" s="15">
        <v>4.0599999999999996</v>
      </c>
      <c r="K489" s="40">
        <v>0</v>
      </c>
    </row>
    <row r="490" spans="1:11" x14ac:dyDescent="0.25">
      <c r="A490" s="1">
        <v>1014835</v>
      </c>
      <c r="B490" s="1" t="s">
        <v>405</v>
      </c>
      <c r="D490" s="2">
        <v>0</v>
      </c>
      <c r="E490" s="2" t="s">
        <v>0</v>
      </c>
      <c r="F490" s="2" t="s">
        <v>42</v>
      </c>
      <c r="G490" s="1" t="s">
        <v>1968</v>
      </c>
      <c r="H490" s="2">
        <v>1</v>
      </c>
      <c r="I490" s="2">
        <v>7</v>
      </c>
      <c r="J490" s="15">
        <v>370.57</v>
      </c>
      <c r="K490" s="40">
        <v>0</v>
      </c>
    </row>
    <row r="491" spans="1:11" x14ac:dyDescent="0.25">
      <c r="A491" s="1">
        <v>1642905</v>
      </c>
      <c r="B491" s="1" t="s">
        <v>406</v>
      </c>
      <c r="D491" s="2">
        <v>0</v>
      </c>
      <c r="E491" s="2" t="s">
        <v>0</v>
      </c>
      <c r="F491" s="2" t="s">
        <v>561</v>
      </c>
      <c r="G491" s="1" t="s">
        <v>1968</v>
      </c>
      <c r="H491" s="2">
        <v>1</v>
      </c>
      <c r="I491" s="2">
        <v>7</v>
      </c>
      <c r="J491" s="15">
        <v>321.63</v>
      </c>
      <c r="K491" s="40">
        <v>0</v>
      </c>
    </row>
    <row r="492" spans="1:11" x14ac:dyDescent="0.25">
      <c r="A492" s="1">
        <v>1642904</v>
      </c>
      <c r="B492" s="1" t="s">
        <v>407</v>
      </c>
      <c r="D492" s="2">
        <v>0</v>
      </c>
      <c r="E492" s="2" t="s">
        <v>0</v>
      </c>
      <c r="F492" s="2" t="s">
        <v>561</v>
      </c>
      <c r="G492" s="1" t="s">
        <v>1968</v>
      </c>
      <c r="H492" s="2">
        <v>1</v>
      </c>
      <c r="I492" s="2">
        <v>7</v>
      </c>
      <c r="J492" s="15">
        <v>386.77</v>
      </c>
      <c r="K492" s="40">
        <v>0</v>
      </c>
    </row>
    <row r="493" spans="1:11" x14ac:dyDescent="0.25">
      <c r="A493" s="1">
        <v>1638723</v>
      </c>
      <c r="B493" s="1" t="s">
        <v>408</v>
      </c>
      <c r="D493" s="2">
        <v>0</v>
      </c>
      <c r="E493" s="2" t="s">
        <v>0</v>
      </c>
      <c r="F493" s="2" t="s">
        <v>561</v>
      </c>
      <c r="G493" s="1" t="s">
        <v>1968</v>
      </c>
      <c r="H493" s="2">
        <v>1</v>
      </c>
      <c r="I493" s="2">
        <v>7</v>
      </c>
      <c r="J493" s="15">
        <v>559.65</v>
      </c>
      <c r="K493" s="40">
        <v>0</v>
      </c>
    </row>
    <row r="494" spans="1:11" x14ac:dyDescent="0.25">
      <c r="A494" s="1">
        <v>1412857</v>
      </c>
      <c r="B494" s="1" t="s">
        <v>409</v>
      </c>
      <c r="D494" s="2">
        <v>0</v>
      </c>
      <c r="E494" s="2" t="s">
        <v>0</v>
      </c>
      <c r="F494" s="2" t="s">
        <v>41</v>
      </c>
      <c r="G494" s="1" t="s">
        <v>1968</v>
      </c>
      <c r="H494" s="2">
        <v>1</v>
      </c>
      <c r="I494" s="2">
        <v>7</v>
      </c>
      <c r="J494" s="15">
        <v>13.28</v>
      </c>
      <c r="K494" s="40">
        <v>0</v>
      </c>
    </row>
    <row r="495" spans="1:11" x14ac:dyDescent="0.25">
      <c r="A495" s="1">
        <v>1003881</v>
      </c>
      <c r="B495" s="1" t="s">
        <v>410</v>
      </c>
      <c r="D495" s="2">
        <v>0</v>
      </c>
      <c r="E495" s="2" t="s">
        <v>0</v>
      </c>
      <c r="F495" s="2" t="s">
        <v>41</v>
      </c>
      <c r="G495" s="1" t="s">
        <v>1968</v>
      </c>
      <c r="H495" s="2">
        <v>1</v>
      </c>
      <c r="I495" s="2">
        <v>7</v>
      </c>
      <c r="J495" s="15">
        <v>0.95</v>
      </c>
      <c r="K495" s="40">
        <v>0</v>
      </c>
    </row>
    <row r="496" spans="1:11" x14ac:dyDescent="0.25">
      <c r="A496" s="1">
        <v>1003876</v>
      </c>
      <c r="B496" s="1" t="s">
        <v>411</v>
      </c>
      <c r="D496" s="2">
        <v>0</v>
      </c>
      <c r="E496" s="2" t="s">
        <v>0</v>
      </c>
      <c r="F496" s="2" t="s">
        <v>41</v>
      </c>
      <c r="G496" s="1" t="s">
        <v>1968</v>
      </c>
      <c r="H496" s="2">
        <v>1</v>
      </c>
      <c r="I496" s="2">
        <v>7</v>
      </c>
      <c r="J496" s="15">
        <v>13.68</v>
      </c>
      <c r="K496" s="40">
        <v>0</v>
      </c>
    </row>
    <row r="497" spans="1:11" x14ac:dyDescent="0.25">
      <c r="A497" s="1">
        <v>1527292</v>
      </c>
      <c r="B497" s="1" t="s">
        <v>412</v>
      </c>
      <c r="D497" s="2">
        <v>0</v>
      </c>
      <c r="E497" s="2" t="s">
        <v>0</v>
      </c>
      <c r="F497" s="2" t="s">
        <v>43</v>
      </c>
      <c r="G497" s="1" t="s">
        <v>1968</v>
      </c>
      <c r="H497" s="2">
        <v>1</v>
      </c>
      <c r="I497" s="2">
        <v>7</v>
      </c>
      <c r="J497" s="15">
        <v>5.88</v>
      </c>
      <c r="K497" s="40">
        <v>0</v>
      </c>
    </row>
    <row r="498" spans="1:11" x14ac:dyDescent="0.25">
      <c r="A498" s="1">
        <v>2271424</v>
      </c>
      <c r="B498" s="1" t="s">
        <v>413</v>
      </c>
      <c r="D498" s="2">
        <v>0</v>
      </c>
      <c r="E498" s="2" t="s">
        <v>0</v>
      </c>
      <c r="F498" s="2" t="s">
        <v>40</v>
      </c>
      <c r="G498" s="1" t="s">
        <v>1968</v>
      </c>
      <c r="H498" s="2">
        <v>1</v>
      </c>
      <c r="I498" s="2">
        <v>7</v>
      </c>
      <c r="J498" s="15">
        <v>3.46</v>
      </c>
      <c r="K498" s="40">
        <v>0</v>
      </c>
    </row>
    <row r="499" spans="1:11" x14ac:dyDescent="0.25">
      <c r="A499" s="1">
        <v>2271420</v>
      </c>
      <c r="B499" s="1" t="s">
        <v>414</v>
      </c>
      <c r="D499" s="2">
        <v>0</v>
      </c>
      <c r="E499" s="2" t="s">
        <v>0</v>
      </c>
      <c r="F499" s="2" t="s">
        <v>40</v>
      </c>
      <c r="G499" s="1" t="s">
        <v>1968</v>
      </c>
      <c r="H499" s="2">
        <v>1</v>
      </c>
      <c r="I499" s="2">
        <v>7</v>
      </c>
      <c r="J499" s="15">
        <v>1.24</v>
      </c>
      <c r="K499" s="40">
        <v>0</v>
      </c>
    </row>
    <row r="500" spans="1:11" x14ac:dyDescent="0.25">
      <c r="A500" s="1">
        <v>1011679</v>
      </c>
      <c r="B500" s="1" t="s">
        <v>415</v>
      </c>
      <c r="D500" s="2">
        <v>0</v>
      </c>
      <c r="E500" s="2" t="s">
        <v>0</v>
      </c>
      <c r="F500" s="2" t="s">
        <v>42</v>
      </c>
      <c r="G500" s="1" t="s">
        <v>1968</v>
      </c>
      <c r="H500" s="2">
        <v>1</v>
      </c>
      <c r="I500" s="2">
        <v>7</v>
      </c>
      <c r="J500" s="15">
        <v>4.16</v>
      </c>
      <c r="K500" s="40">
        <v>0</v>
      </c>
    </row>
    <row r="501" spans="1:11" x14ac:dyDescent="0.25">
      <c r="A501" s="1">
        <v>1006812</v>
      </c>
      <c r="B501" s="1" t="s">
        <v>416</v>
      </c>
      <c r="D501" s="2">
        <v>0</v>
      </c>
      <c r="E501" s="2" t="s">
        <v>0</v>
      </c>
      <c r="F501" s="2" t="s">
        <v>42</v>
      </c>
      <c r="G501" s="1" t="s">
        <v>1968</v>
      </c>
      <c r="H501" s="2">
        <v>1</v>
      </c>
      <c r="I501" s="2">
        <v>7</v>
      </c>
      <c r="J501" s="15">
        <v>10.67</v>
      </c>
      <c r="K501" s="40">
        <v>0</v>
      </c>
    </row>
    <row r="502" spans="1:11" x14ac:dyDescent="0.25">
      <c r="A502" s="1">
        <v>1028075</v>
      </c>
      <c r="B502" s="1" t="s">
        <v>417</v>
      </c>
      <c r="D502" s="2">
        <v>0</v>
      </c>
      <c r="E502" s="2" t="s">
        <v>131</v>
      </c>
      <c r="F502" s="2" t="s">
        <v>41</v>
      </c>
      <c r="G502" s="1" t="s">
        <v>1968</v>
      </c>
      <c r="H502" s="2">
        <v>1</v>
      </c>
      <c r="I502" s="2">
        <v>7</v>
      </c>
      <c r="J502" s="15">
        <v>8.57</v>
      </c>
      <c r="K502" s="40">
        <v>0</v>
      </c>
    </row>
    <row r="503" spans="1:11" x14ac:dyDescent="0.25">
      <c r="A503" s="1">
        <v>1463408</v>
      </c>
      <c r="B503" s="1" t="s">
        <v>564</v>
      </c>
      <c r="D503" s="2">
        <v>0</v>
      </c>
      <c r="E503" s="2" t="s">
        <v>302</v>
      </c>
      <c r="F503" s="2" t="s">
        <v>41</v>
      </c>
      <c r="G503" s="1" t="s">
        <v>1968</v>
      </c>
      <c r="H503" s="2">
        <v>1</v>
      </c>
      <c r="I503" s="2">
        <v>7</v>
      </c>
      <c r="J503" s="15">
        <v>103.79</v>
      </c>
      <c r="K503" s="40">
        <v>0</v>
      </c>
    </row>
    <row r="504" spans="1:11" x14ac:dyDescent="0.25">
      <c r="A504" s="1">
        <v>2243642</v>
      </c>
      <c r="B504" s="1" t="s">
        <v>418</v>
      </c>
      <c r="D504" s="2">
        <v>0</v>
      </c>
      <c r="E504" s="2" t="s">
        <v>0</v>
      </c>
      <c r="F504" s="2" t="s">
        <v>40</v>
      </c>
      <c r="G504" s="1" t="s">
        <v>786</v>
      </c>
      <c r="H504" s="2">
        <v>1</v>
      </c>
      <c r="I504" s="2">
        <v>7</v>
      </c>
      <c r="K504" s="40">
        <v>0</v>
      </c>
    </row>
    <row r="505" spans="1:11" x14ac:dyDescent="0.25">
      <c r="A505" s="1">
        <v>1099499</v>
      </c>
      <c r="B505" s="1" t="s">
        <v>526</v>
      </c>
      <c r="D505" s="2">
        <v>0</v>
      </c>
      <c r="E505" s="2" t="s">
        <v>0</v>
      </c>
      <c r="F505" s="2" t="s">
        <v>557</v>
      </c>
      <c r="G505" s="1" t="s">
        <v>1968</v>
      </c>
      <c r="H505" s="2">
        <v>1</v>
      </c>
      <c r="I505" s="2">
        <v>7</v>
      </c>
      <c r="J505" s="15">
        <v>42.27</v>
      </c>
      <c r="K505" s="40">
        <v>0</v>
      </c>
    </row>
    <row r="506" spans="1:11" x14ac:dyDescent="0.25">
      <c r="A506" s="1">
        <v>1246237</v>
      </c>
      <c r="B506" s="1" t="s">
        <v>552</v>
      </c>
      <c r="D506" s="2">
        <v>0</v>
      </c>
      <c r="E506" s="2" t="s">
        <v>0</v>
      </c>
      <c r="F506" s="2" t="s">
        <v>557</v>
      </c>
      <c r="G506" s="1" t="s">
        <v>786</v>
      </c>
      <c r="H506" s="2">
        <v>1</v>
      </c>
      <c r="I506" s="2">
        <v>7</v>
      </c>
      <c r="K506" s="40">
        <v>0</v>
      </c>
    </row>
    <row r="507" spans="1:11" x14ac:dyDescent="0.25">
      <c r="A507" s="1">
        <v>1579558</v>
      </c>
      <c r="B507" s="1" t="s">
        <v>419</v>
      </c>
      <c r="D507" s="2">
        <v>0</v>
      </c>
      <c r="E507" s="2" t="s">
        <v>0</v>
      </c>
      <c r="F507" s="2" t="s">
        <v>557</v>
      </c>
      <c r="G507" s="1" t="s">
        <v>1968</v>
      </c>
      <c r="H507" s="2">
        <v>1</v>
      </c>
      <c r="I507" s="2">
        <v>7</v>
      </c>
      <c r="J507" s="15">
        <v>25.52</v>
      </c>
      <c r="K507" s="40">
        <v>0</v>
      </c>
    </row>
    <row r="508" spans="1:11" x14ac:dyDescent="0.25">
      <c r="A508" s="1">
        <v>1900571</v>
      </c>
      <c r="B508" s="1" t="s">
        <v>420</v>
      </c>
      <c r="D508" s="2">
        <v>0</v>
      </c>
      <c r="E508" s="2" t="s">
        <v>56</v>
      </c>
      <c r="F508" s="2" t="s">
        <v>42</v>
      </c>
      <c r="G508" s="1" t="s">
        <v>1968</v>
      </c>
      <c r="H508" s="2">
        <v>1</v>
      </c>
      <c r="I508" s="2">
        <v>7</v>
      </c>
      <c r="J508" s="15">
        <v>26.14</v>
      </c>
      <c r="K508" s="40">
        <v>0</v>
      </c>
    </row>
    <row r="509" spans="1:11" x14ac:dyDescent="0.25">
      <c r="A509" s="1">
        <v>2291057</v>
      </c>
      <c r="B509" s="1" t="s">
        <v>514</v>
      </c>
      <c r="D509" s="2">
        <v>0</v>
      </c>
      <c r="E509" s="2" t="s">
        <v>0</v>
      </c>
      <c r="F509" s="2" t="s">
        <v>42</v>
      </c>
      <c r="G509" s="1" t="s">
        <v>1968</v>
      </c>
      <c r="H509" s="2">
        <v>1</v>
      </c>
      <c r="I509" s="2">
        <v>7</v>
      </c>
      <c r="J509" s="15">
        <v>400.66</v>
      </c>
      <c r="K509" s="40">
        <v>0</v>
      </c>
    </row>
    <row r="510" spans="1:11" x14ac:dyDescent="0.25">
      <c r="A510" s="1">
        <v>2390347</v>
      </c>
      <c r="B510" s="1" t="s">
        <v>35</v>
      </c>
      <c r="D510" s="2">
        <v>0</v>
      </c>
      <c r="E510" s="2" t="s">
        <v>0</v>
      </c>
      <c r="F510" s="2" t="s">
        <v>42</v>
      </c>
      <c r="G510" s="1" t="s">
        <v>1968</v>
      </c>
      <c r="H510" s="2">
        <v>1</v>
      </c>
      <c r="I510" s="2">
        <v>7</v>
      </c>
      <c r="J510" s="15">
        <v>471.7</v>
      </c>
      <c r="K510" s="40">
        <v>0</v>
      </c>
    </row>
    <row r="511" spans="1:11" x14ac:dyDescent="0.25">
      <c r="A511" s="1">
        <v>5811269</v>
      </c>
      <c r="B511" s="1" t="s">
        <v>421</v>
      </c>
      <c r="D511" s="2">
        <v>0</v>
      </c>
      <c r="E511" s="2" t="s">
        <v>0</v>
      </c>
      <c r="F511" s="2" t="s">
        <v>42</v>
      </c>
      <c r="G511" s="1" t="s">
        <v>786</v>
      </c>
      <c r="H511" s="2">
        <v>1</v>
      </c>
      <c r="I511" s="2">
        <v>7</v>
      </c>
      <c r="J511" s="15">
        <v>12.84</v>
      </c>
      <c r="K511" s="40">
        <v>0</v>
      </c>
    </row>
    <row r="512" spans="1:11" x14ac:dyDescent="0.25">
      <c r="A512" s="1">
        <v>1192375</v>
      </c>
      <c r="B512" s="1" t="s">
        <v>422</v>
      </c>
      <c r="D512" s="2">
        <v>0</v>
      </c>
      <c r="E512" s="2" t="s">
        <v>0</v>
      </c>
      <c r="F512" s="2" t="s">
        <v>42</v>
      </c>
      <c r="G512" s="1" t="s">
        <v>1968</v>
      </c>
      <c r="H512" s="2">
        <v>1</v>
      </c>
      <c r="I512" s="2">
        <v>7</v>
      </c>
      <c r="J512" s="15">
        <v>1.44</v>
      </c>
      <c r="K512" s="40">
        <v>0</v>
      </c>
    </row>
    <row r="513" spans="1:11" x14ac:dyDescent="0.25">
      <c r="A513" s="1">
        <v>2202822</v>
      </c>
      <c r="B513" s="1" t="s">
        <v>547</v>
      </c>
      <c r="D513" s="2">
        <v>0</v>
      </c>
      <c r="E513" s="2" t="s">
        <v>56</v>
      </c>
      <c r="F513" s="2" t="s">
        <v>42</v>
      </c>
      <c r="G513" s="1" t="s">
        <v>786</v>
      </c>
      <c r="H513" s="2">
        <v>1</v>
      </c>
      <c r="I513" s="2">
        <v>7</v>
      </c>
      <c r="K513" s="40">
        <v>0</v>
      </c>
    </row>
    <row r="514" spans="1:11" x14ac:dyDescent="0.25">
      <c r="A514" s="1">
        <v>1062385</v>
      </c>
      <c r="B514" s="1" t="s">
        <v>579</v>
      </c>
      <c r="D514" s="2">
        <v>0</v>
      </c>
      <c r="E514" s="2" t="s">
        <v>56</v>
      </c>
      <c r="F514" s="2" t="s">
        <v>40</v>
      </c>
      <c r="G514" s="1" t="s">
        <v>1968</v>
      </c>
      <c r="H514" s="2">
        <v>1</v>
      </c>
      <c r="I514" s="2">
        <v>7</v>
      </c>
      <c r="J514" s="15">
        <v>51.38</v>
      </c>
      <c r="K514" s="40">
        <v>0</v>
      </c>
    </row>
    <row r="515" spans="1:11" x14ac:dyDescent="0.25">
      <c r="A515" s="1">
        <v>1062486</v>
      </c>
      <c r="B515" s="1" t="s">
        <v>509</v>
      </c>
      <c r="D515" s="2">
        <v>0</v>
      </c>
      <c r="E515" s="2" t="s">
        <v>0</v>
      </c>
      <c r="F515" s="2" t="s">
        <v>40</v>
      </c>
      <c r="G515" s="1" t="s">
        <v>1968</v>
      </c>
      <c r="H515" s="2">
        <v>1</v>
      </c>
      <c r="I515" s="2">
        <v>7</v>
      </c>
      <c r="J515" s="15">
        <v>113.09</v>
      </c>
      <c r="K515" s="40">
        <v>0</v>
      </c>
    </row>
    <row r="516" spans="1:11" x14ac:dyDescent="0.25">
      <c r="A516" s="1">
        <v>2209673</v>
      </c>
      <c r="B516" s="1" t="s">
        <v>423</v>
      </c>
      <c r="D516" s="2">
        <v>0</v>
      </c>
      <c r="E516" s="2" t="s">
        <v>424</v>
      </c>
      <c r="F516" s="2" t="s">
        <v>40</v>
      </c>
      <c r="G516" s="1" t="s">
        <v>1968</v>
      </c>
      <c r="H516" s="2">
        <v>1</v>
      </c>
      <c r="I516" s="2">
        <v>7</v>
      </c>
      <c r="J516" s="15">
        <v>174.9</v>
      </c>
      <c r="K516" s="40">
        <v>0</v>
      </c>
    </row>
    <row r="517" spans="1:11" x14ac:dyDescent="0.25">
      <c r="A517" s="1">
        <v>2325756</v>
      </c>
      <c r="B517" s="1" t="s">
        <v>555</v>
      </c>
      <c r="D517" s="2">
        <v>0</v>
      </c>
      <c r="E517" s="2" t="s">
        <v>426</v>
      </c>
      <c r="F517" s="2" t="s">
        <v>40</v>
      </c>
      <c r="G517" s="1" t="s">
        <v>1968</v>
      </c>
      <c r="H517" s="2">
        <v>1</v>
      </c>
      <c r="I517" s="2">
        <v>7</v>
      </c>
      <c r="J517" s="15">
        <v>1719.77</v>
      </c>
      <c r="K517" s="40">
        <v>0</v>
      </c>
    </row>
    <row r="518" spans="1:11" x14ac:dyDescent="0.25">
      <c r="A518" s="1">
        <v>2209672</v>
      </c>
      <c r="B518" s="1" t="s">
        <v>425</v>
      </c>
      <c r="D518" s="2">
        <v>0</v>
      </c>
      <c r="E518" s="2" t="s">
        <v>426</v>
      </c>
      <c r="F518" s="2" t="s">
        <v>40</v>
      </c>
      <c r="G518" s="1" t="s">
        <v>1968</v>
      </c>
      <c r="H518" s="2">
        <v>1</v>
      </c>
      <c r="I518" s="2">
        <v>7</v>
      </c>
      <c r="J518" s="15">
        <v>1787.04</v>
      </c>
      <c r="K518" s="40">
        <v>0</v>
      </c>
    </row>
    <row r="519" spans="1:11" x14ac:dyDescent="0.25">
      <c r="A519" s="1">
        <v>2209671</v>
      </c>
      <c r="B519" s="1" t="s">
        <v>427</v>
      </c>
      <c r="D519" s="2">
        <v>0</v>
      </c>
      <c r="E519" s="2" t="s">
        <v>426</v>
      </c>
      <c r="F519" s="2" t="s">
        <v>40</v>
      </c>
      <c r="G519" s="1" t="s">
        <v>1968</v>
      </c>
      <c r="H519" s="2">
        <v>1</v>
      </c>
      <c r="I519" s="2">
        <v>7</v>
      </c>
      <c r="J519" s="15">
        <v>1278.94</v>
      </c>
      <c r="K519" s="40">
        <v>0</v>
      </c>
    </row>
    <row r="520" spans="1:11" x14ac:dyDescent="0.25">
      <c r="A520" s="1">
        <v>2209669</v>
      </c>
      <c r="B520" s="1" t="s">
        <v>428</v>
      </c>
      <c r="D520" s="2">
        <v>0</v>
      </c>
      <c r="E520" s="2" t="s">
        <v>424</v>
      </c>
      <c r="F520" s="2" t="s">
        <v>40</v>
      </c>
      <c r="G520" s="1" t="s">
        <v>1968</v>
      </c>
      <c r="H520" s="2">
        <v>1</v>
      </c>
      <c r="I520" s="2">
        <v>7</v>
      </c>
      <c r="J520" s="15">
        <v>99.78</v>
      </c>
      <c r="K520" s="40">
        <v>0</v>
      </c>
    </row>
    <row r="521" spans="1:11" x14ac:dyDescent="0.25">
      <c r="A521" s="1">
        <v>1011620</v>
      </c>
      <c r="B521" s="1" t="s">
        <v>542</v>
      </c>
      <c r="D521" s="2">
        <v>0</v>
      </c>
      <c r="E521" s="2" t="s">
        <v>0</v>
      </c>
      <c r="F521" s="2" t="s">
        <v>43</v>
      </c>
      <c r="G521" s="1" t="s">
        <v>1969</v>
      </c>
      <c r="H521" s="2">
        <v>1</v>
      </c>
      <c r="I521" s="2">
        <v>7</v>
      </c>
      <c r="J521" s="15">
        <v>4.95</v>
      </c>
      <c r="K521" s="40">
        <v>0</v>
      </c>
    </row>
    <row r="522" spans="1:11" x14ac:dyDescent="0.25">
      <c r="A522" s="1">
        <v>2255003</v>
      </c>
      <c r="B522" s="1" t="s">
        <v>429</v>
      </c>
      <c r="D522" s="2">
        <v>0</v>
      </c>
      <c r="E522" s="2" t="s">
        <v>0</v>
      </c>
      <c r="F522" s="2" t="s">
        <v>40</v>
      </c>
      <c r="G522" s="1" t="s">
        <v>1968</v>
      </c>
      <c r="H522" s="2">
        <v>1</v>
      </c>
      <c r="I522" s="2">
        <v>7</v>
      </c>
      <c r="J522" s="15">
        <v>35.14</v>
      </c>
      <c r="K522" s="40">
        <v>0</v>
      </c>
    </row>
    <row r="523" spans="1:11" x14ac:dyDescent="0.25">
      <c r="A523" s="1">
        <v>2255000</v>
      </c>
      <c r="B523" s="1" t="s">
        <v>430</v>
      </c>
      <c r="D523" s="2">
        <v>0</v>
      </c>
      <c r="E523" s="2" t="s">
        <v>0</v>
      </c>
      <c r="F523" s="2" t="s">
        <v>40</v>
      </c>
      <c r="G523" s="1" t="s">
        <v>1968</v>
      </c>
      <c r="H523" s="2">
        <v>1</v>
      </c>
      <c r="I523" s="2">
        <v>7</v>
      </c>
      <c r="J523" s="15">
        <v>17.670000000000002</v>
      </c>
      <c r="K523" s="40">
        <v>0</v>
      </c>
    </row>
    <row r="524" spans="1:11" x14ac:dyDescent="0.25">
      <c r="A524" s="1">
        <v>2255001</v>
      </c>
      <c r="B524" s="1" t="s">
        <v>431</v>
      </c>
      <c r="D524" s="2">
        <v>0</v>
      </c>
      <c r="E524" s="2" t="s">
        <v>0</v>
      </c>
      <c r="F524" s="2" t="s">
        <v>40</v>
      </c>
      <c r="G524" s="1" t="s">
        <v>1968</v>
      </c>
      <c r="H524" s="2">
        <v>1</v>
      </c>
      <c r="I524" s="2">
        <v>7</v>
      </c>
      <c r="J524" s="15">
        <v>20.89</v>
      </c>
      <c r="K524" s="40">
        <v>0</v>
      </c>
    </row>
    <row r="525" spans="1:11" x14ac:dyDescent="0.25">
      <c r="A525" s="1">
        <v>2255021</v>
      </c>
      <c r="B525" s="1" t="s">
        <v>432</v>
      </c>
      <c r="D525" s="2">
        <v>0</v>
      </c>
      <c r="E525" s="2" t="s">
        <v>0</v>
      </c>
      <c r="F525" s="2" t="s">
        <v>40</v>
      </c>
      <c r="G525" s="1" t="s">
        <v>1968</v>
      </c>
      <c r="H525" s="2">
        <v>1</v>
      </c>
      <c r="I525" s="2">
        <v>7</v>
      </c>
      <c r="J525" s="15">
        <v>32.159999999999997</v>
      </c>
      <c r="K525" s="40">
        <v>0</v>
      </c>
    </row>
    <row r="526" spans="1:11" x14ac:dyDescent="0.25">
      <c r="A526" s="1">
        <v>1014674</v>
      </c>
      <c r="B526" s="1" t="s">
        <v>433</v>
      </c>
      <c r="D526" s="2">
        <v>0</v>
      </c>
      <c r="E526" s="2" t="s">
        <v>0</v>
      </c>
      <c r="F526" s="2" t="s">
        <v>40</v>
      </c>
      <c r="G526" s="1" t="s">
        <v>1968</v>
      </c>
      <c r="H526" s="2">
        <v>1</v>
      </c>
      <c r="I526" s="2">
        <v>7</v>
      </c>
      <c r="J526" s="15">
        <v>30.54</v>
      </c>
      <c r="K526" s="40">
        <v>0</v>
      </c>
    </row>
    <row r="527" spans="1:11" x14ac:dyDescent="0.25">
      <c r="A527" s="1">
        <v>1011565</v>
      </c>
      <c r="B527" s="1" t="s">
        <v>434</v>
      </c>
      <c r="D527" s="2">
        <v>0</v>
      </c>
      <c r="E527" s="2" t="s">
        <v>0</v>
      </c>
      <c r="F527" s="2" t="s">
        <v>40</v>
      </c>
      <c r="G527" s="1" t="s">
        <v>1969</v>
      </c>
      <c r="H527" s="2">
        <v>1</v>
      </c>
      <c r="I527" s="2">
        <v>7</v>
      </c>
      <c r="J527" s="15">
        <v>13.38</v>
      </c>
      <c r="K527" s="40">
        <v>0</v>
      </c>
    </row>
    <row r="528" spans="1:11" x14ac:dyDescent="0.25">
      <c r="A528" s="1">
        <v>1011701</v>
      </c>
      <c r="B528" s="1" t="s">
        <v>435</v>
      </c>
      <c r="D528" s="2">
        <v>0</v>
      </c>
      <c r="E528" s="2" t="s">
        <v>0</v>
      </c>
      <c r="F528" s="2" t="s">
        <v>40</v>
      </c>
      <c r="G528" s="1" t="s">
        <v>1968</v>
      </c>
      <c r="H528" s="2">
        <v>1</v>
      </c>
      <c r="I528" s="2">
        <v>7</v>
      </c>
      <c r="J528" s="15">
        <v>1.83</v>
      </c>
      <c r="K528" s="40">
        <v>0</v>
      </c>
    </row>
    <row r="529" spans="1:11" x14ac:dyDescent="0.25">
      <c r="A529" s="1">
        <v>2243106</v>
      </c>
      <c r="B529" s="1" t="s">
        <v>436</v>
      </c>
      <c r="D529" s="2">
        <v>0</v>
      </c>
      <c r="E529" s="2" t="s">
        <v>0</v>
      </c>
      <c r="F529" s="2" t="s">
        <v>40</v>
      </c>
      <c r="G529" s="1" t="s">
        <v>1968</v>
      </c>
      <c r="H529" s="2">
        <v>1</v>
      </c>
      <c r="I529" s="2">
        <v>7</v>
      </c>
      <c r="J529" s="15">
        <v>3.01</v>
      </c>
      <c r="K529" s="40">
        <v>0</v>
      </c>
    </row>
    <row r="530" spans="1:11" x14ac:dyDescent="0.25">
      <c r="A530" s="1">
        <v>1815465</v>
      </c>
      <c r="B530" s="1" t="s">
        <v>437</v>
      </c>
      <c r="D530" s="2">
        <v>0</v>
      </c>
      <c r="E530" s="2" t="s">
        <v>0</v>
      </c>
      <c r="F530" s="2" t="s">
        <v>40</v>
      </c>
      <c r="G530" s="1" t="s">
        <v>1968</v>
      </c>
      <c r="H530" s="2">
        <v>1</v>
      </c>
      <c r="I530" s="2">
        <v>7</v>
      </c>
      <c r="J530" s="15">
        <v>3.43</v>
      </c>
      <c r="K530" s="40">
        <v>0</v>
      </c>
    </row>
    <row r="531" spans="1:11" x14ac:dyDescent="0.25">
      <c r="A531" s="1">
        <v>1815466</v>
      </c>
      <c r="B531" s="1" t="s">
        <v>438</v>
      </c>
      <c r="D531" s="2">
        <v>0</v>
      </c>
      <c r="E531" s="2" t="s">
        <v>0</v>
      </c>
      <c r="F531" s="2" t="s">
        <v>40</v>
      </c>
      <c r="G531" s="1" t="s">
        <v>1968</v>
      </c>
      <c r="H531" s="2">
        <v>1</v>
      </c>
      <c r="I531" s="2">
        <v>7</v>
      </c>
      <c r="J531" s="15">
        <v>3.51</v>
      </c>
      <c r="K531" s="40">
        <v>0</v>
      </c>
    </row>
    <row r="532" spans="1:11" x14ac:dyDescent="0.25">
      <c r="A532" s="1">
        <v>2243108</v>
      </c>
      <c r="B532" s="1" t="s">
        <v>439</v>
      </c>
      <c r="D532" s="2">
        <v>0</v>
      </c>
      <c r="E532" s="2" t="s">
        <v>131</v>
      </c>
      <c r="F532" s="2" t="s">
        <v>41</v>
      </c>
      <c r="G532" s="1" t="s">
        <v>1968</v>
      </c>
      <c r="H532" s="2">
        <v>1</v>
      </c>
      <c r="I532" s="2">
        <v>7</v>
      </c>
      <c r="J532" s="15">
        <v>6.75</v>
      </c>
      <c r="K532" s="40">
        <v>0</v>
      </c>
    </row>
    <row r="533" spans="1:11" x14ac:dyDescent="0.25">
      <c r="A533" s="1">
        <v>2243971</v>
      </c>
      <c r="B533" s="1" t="s">
        <v>440</v>
      </c>
      <c r="D533" s="2">
        <v>0</v>
      </c>
      <c r="E533" s="2" t="s">
        <v>131</v>
      </c>
      <c r="F533" s="2" t="s">
        <v>41</v>
      </c>
      <c r="G533" s="1" t="s">
        <v>1968</v>
      </c>
      <c r="H533" s="2">
        <v>1</v>
      </c>
      <c r="I533" s="2">
        <v>7</v>
      </c>
      <c r="J533" s="15">
        <v>2.97</v>
      </c>
      <c r="K533" s="40">
        <v>0</v>
      </c>
    </row>
    <row r="534" spans="1:11" x14ac:dyDescent="0.25">
      <c r="A534" s="1">
        <v>2243514</v>
      </c>
      <c r="B534" s="1" t="s">
        <v>441</v>
      </c>
      <c r="D534" s="2">
        <v>0</v>
      </c>
      <c r="E534" s="2" t="s">
        <v>426</v>
      </c>
      <c r="F534" s="2" t="s">
        <v>41</v>
      </c>
      <c r="G534" s="1" t="s">
        <v>786</v>
      </c>
      <c r="H534" s="2">
        <v>1</v>
      </c>
      <c r="I534" s="2">
        <v>7</v>
      </c>
      <c r="J534" s="15">
        <v>15.72</v>
      </c>
      <c r="K534" s="40">
        <v>0</v>
      </c>
    </row>
    <row r="535" spans="1:11" x14ac:dyDescent="0.25">
      <c r="A535" s="1">
        <v>2370839</v>
      </c>
      <c r="B535" s="1" t="s">
        <v>578</v>
      </c>
      <c r="D535" s="2">
        <v>0</v>
      </c>
      <c r="E535" s="2" t="s">
        <v>131</v>
      </c>
      <c r="F535" s="2" t="s">
        <v>41</v>
      </c>
      <c r="G535" s="1" t="s">
        <v>1968</v>
      </c>
      <c r="H535" s="2">
        <v>1</v>
      </c>
      <c r="I535" s="2">
        <v>7</v>
      </c>
      <c r="J535" s="15">
        <v>26.67</v>
      </c>
      <c r="K535" s="40">
        <v>0</v>
      </c>
    </row>
    <row r="536" spans="1:11" x14ac:dyDescent="0.25">
      <c r="A536" s="1">
        <v>2370840</v>
      </c>
      <c r="B536" s="1" t="s">
        <v>442</v>
      </c>
      <c r="D536" s="2">
        <v>0</v>
      </c>
      <c r="E536" s="2" t="s">
        <v>131</v>
      </c>
      <c r="F536" s="2" t="s">
        <v>41</v>
      </c>
      <c r="G536" s="1" t="s">
        <v>1968</v>
      </c>
      <c r="H536" s="2">
        <v>1</v>
      </c>
      <c r="I536" s="2">
        <v>7</v>
      </c>
      <c r="J536" s="15">
        <v>16.63</v>
      </c>
      <c r="K536" s="40">
        <v>0</v>
      </c>
    </row>
    <row r="537" spans="1:11" x14ac:dyDescent="0.25">
      <c r="A537" s="1">
        <v>2243034</v>
      </c>
      <c r="B537" s="1" t="s">
        <v>443</v>
      </c>
      <c r="D537" s="2">
        <v>0</v>
      </c>
      <c r="E537" s="2" t="s">
        <v>0</v>
      </c>
      <c r="F537" s="2" t="s">
        <v>43</v>
      </c>
      <c r="G537" s="1" t="s">
        <v>1969</v>
      </c>
      <c r="H537" s="2">
        <v>1</v>
      </c>
      <c r="I537" s="2">
        <v>7</v>
      </c>
      <c r="J537" s="15">
        <v>0.31</v>
      </c>
      <c r="K537" s="40">
        <v>0</v>
      </c>
    </row>
    <row r="538" spans="1:11" x14ac:dyDescent="0.25">
      <c r="A538" s="1">
        <v>2243038</v>
      </c>
      <c r="B538" s="1" t="s">
        <v>444</v>
      </c>
      <c r="D538" s="2">
        <v>0</v>
      </c>
      <c r="E538" s="2" t="s">
        <v>0</v>
      </c>
      <c r="F538" s="2" t="s">
        <v>43</v>
      </c>
      <c r="G538" s="1" t="s">
        <v>1969</v>
      </c>
      <c r="H538" s="2">
        <v>1</v>
      </c>
      <c r="I538" s="2">
        <v>7</v>
      </c>
      <c r="J538" s="15">
        <v>0.43</v>
      </c>
      <c r="K538" s="40">
        <v>0</v>
      </c>
    </row>
    <row r="539" spans="1:11" x14ac:dyDescent="0.25">
      <c r="A539" s="1">
        <v>1972152</v>
      </c>
      <c r="B539" s="1" t="s">
        <v>445</v>
      </c>
      <c r="D539" s="2">
        <v>0</v>
      </c>
      <c r="E539" s="2" t="s">
        <v>0</v>
      </c>
      <c r="F539" s="2" t="s">
        <v>561</v>
      </c>
      <c r="G539" s="1" t="s">
        <v>1968</v>
      </c>
      <c r="H539" s="2">
        <v>1</v>
      </c>
      <c r="I539" s="2">
        <v>7</v>
      </c>
      <c r="J539" s="15">
        <v>47.06</v>
      </c>
      <c r="K539" s="40">
        <v>0</v>
      </c>
    </row>
    <row r="540" spans="1:11" x14ac:dyDescent="0.25">
      <c r="A540" s="1">
        <v>1972151</v>
      </c>
      <c r="B540" s="1" t="s">
        <v>446</v>
      </c>
      <c r="D540" s="2">
        <v>0</v>
      </c>
      <c r="E540" s="2" t="s">
        <v>0</v>
      </c>
      <c r="F540" s="2" t="s">
        <v>561</v>
      </c>
      <c r="G540" s="1" t="s">
        <v>1968</v>
      </c>
      <c r="H540" s="2">
        <v>1</v>
      </c>
      <c r="I540" s="2">
        <v>7</v>
      </c>
      <c r="J540" s="15">
        <v>81.33</v>
      </c>
      <c r="K540" s="40">
        <v>0</v>
      </c>
    </row>
    <row r="541" spans="1:11" x14ac:dyDescent="0.25">
      <c r="A541" s="1">
        <v>3219005</v>
      </c>
      <c r="B541" s="1" t="s">
        <v>447</v>
      </c>
      <c r="D541" s="2">
        <v>0</v>
      </c>
      <c r="E541" s="2" t="s">
        <v>131</v>
      </c>
      <c r="F541" s="2" t="s">
        <v>41</v>
      </c>
      <c r="G541" s="1" t="s">
        <v>1968</v>
      </c>
      <c r="H541" s="2">
        <v>1</v>
      </c>
      <c r="I541" s="2">
        <v>7</v>
      </c>
      <c r="J541" s="15">
        <v>8.75</v>
      </c>
      <c r="K541" s="40">
        <v>0</v>
      </c>
    </row>
    <row r="542" spans="1:11" x14ac:dyDescent="0.25">
      <c r="A542" s="1">
        <v>5120462</v>
      </c>
      <c r="B542" s="1" t="s">
        <v>734</v>
      </c>
      <c r="D542" s="2">
        <v>0</v>
      </c>
      <c r="E542" s="2" t="s">
        <v>56</v>
      </c>
      <c r="F542" s="2" t="s">
        <v>42</v>
      </c>
      <c r="G542" s="1" t="s">
        <v>1968</v>
      </c>
      <c r="H542" s="2">
        <v>1</v>
      </c>
      <c r="I542" s="2">
        <v>7</v>
      </c>
      <c r="J542" s="15">
        <v>147.08000000000001</v>
      </c>
      <c r="K542" s="40">
        <v>0</v>
      </c>
    </row>
    <row r="543" spans="1:11" x14ac:dyDescent="0.25">
      <c r="A543" s="1">
        <v>5120507</v>
      </c>
      <c r="B543" s="1" t="s">
        <v>735</v>
      </c>
      <c r="D543" s="2">
        <v>0</v>
      </c>
      <c r="E543" s="2" t="s">
        <v>56</v>
      </c>
      <c r="F543" s="2" t="s">
        <v>42</v>
      </c>
      <c r="G543" s="1" t="s">
        <v>1968</v>
      </c>
      <c r="H543" s="2">
        <v>1</v>
      </c>
      <c r="I543" s="2">
        <v>7</v>
      </c>
      <c r="J543" s="15">
        <v>294.14999999999998</v>
      </c>
      <c r="K543" s="40">
        <v>0</v>
      </c>
    </row>
    <row r="544" spans="1:11" x14ac:dyDescent="0.25">
      <c r="A544" s="1">
        <v>1003896</v>
      </c>
      <c r="B544" s="1" t="s">
        <v>448</v>
      </c>
      <c r="D544" s="2">
        <v>0</v>
      </c>
      <c r="E544" s="2" t="s">
        <v>302</v>
      </c>
      <c r="F544" s="2" t="s">
        <v>42</v>
      </c>
      <c r="G544" s="1" t="s">
        <v>786</v>
      </c>
      <c r="H544" s="2">
        <v>1</v>
      </c>
      <c r="I544" s="2">
        <v>7</v>
      </c>
      <c r="J544" s="15">
        <v>0.94</v>
      </c>
      <c r="K544" s="40">
        <v>0</v>
      </c>
    </row>
    <row r="545" spans="1:11" x14ac:dyDescent="0.25">
      <c r="A545" s="1">
        <v>1003884</v>
      </c>
      <c r="B545" s="1" t="s">
        <v>449</v>
      </c>
      <c r="D545" s="2">
        <v>0</v>
      </c>
      <c r="E545" s="2" t="s">
        <v>302</v>
      </c>
      <c r="F545" s="2" t="s">
        <v>41</v>
      </c>
      <c r="G545" s="1" t="s">
        <v>1968</v>
      </c>
      <c r="H545" s="2">
        <v>1</v>
      </c>
      <c r="I545" s="2">
        <v>7</v>
      </c>
      <c r="J545" s="15">
        <v>315.19</v>
      </c>
      <c r="K545" s="40">
        <v>0</v>
      </c>
    </row>
    <row r="546" spans="1:11" x14ac:dyDescent="0.25">
      <c r="A546" s="1">
        <v>5414847</v>
      </c>
      <c r="B546" s="1" t="s">
        <v>450</v>
      </c>
      <c r="D546" s="2">
        <v>0</v>
      </c>
      <c r="E546" s="2" t="s">
        <v>0</v>
      </c>
      <c r="F546" s="2" t="s">
        <v>41</v>
      </c>
      <c r="G546" s="1" t="s">
        <v>786</v>
      </c>
      <c r="H546" s="2">
        <v>1</v>
      </c>
      <c r="I546" s="2">
        <v>7</v>
      </c>
      <c r="K546" s="40">
        <v>0</v>
      </c>
    </row>
    <row r="547" spans="1:11" x14ac:dyDescent="0.25">
      <c r="A547" s="1">
        <v>1014578</v>
      </c>
      <c r="B547" s="1" t="s">
        <v>737</v>
      </c>
      <c r="D547" s="2">
        <v>0</v>
      </c>
      <c r="E547" s="2" t="s">
        <v>131</v>
      </c>
      <c r="F547" s="2" t="s">
        <v>42</v>
      </c>
      <c r="G547" s="1" t="s">
        <v>1968</v>
      </c>
      <c r="H547" s="2">
        <v>1</v>
      </c>
      <c r="I547" s="2">
        <v>7</v>
      </c>
      <c r="J547" s="15">
        <v>210.11</v>
      </c>
      <c r="K547" s="40">
        <v>0</v>
      </c>
    </row>
    <row r="548" spans="1:11" x14ac:dyDescent="0.25">
      <c r="A548" s="1">
        <v>5414140</v>
      </c>
      <c r="B548" s="1" t="s">
        <v>451</v>
      </c>
      <c r="D548" s="2">
        <v>0</v>
      </c>
      <c r="E548" s="2" t="s">
        <v>131</v>
      </c>
      <c r="F548" s="2" t="s">
        <v>42</v>
      </c>
      <c r="G548" s="1" t="s">
        <v>1968</v>
      </c>
      <c r="H548" s="2">
        <v>1</v>
      </c>
      <c r="I548" s="2">
        <v>7</v>
      </c>
      <c r="J548" s="15">
        <v>5.08</v>
      </c>
      <c r="K548" s="40">
        <v>0</v>
      </c>
    </row>
    <row r="549" spans="1:11" x14ac:dyDescent="0.25">
      <c r="A549" s="1">
        <v>1003901</v>
      </c>
      <c r="B549" s="1" t="s">
        <v>452</v>
      </c>
      <c r="D549" s="2">
        <v>0</v>
      </c>
      <c r="E549" s="2" t="s">
        <v>0</v>
      </c>
      <c r="F549" s="2" t="s">
        <v>41</v>
      </c>
      <c r="G549" s="1" t="s">
        <v>1968</v>
      </c>
      <c r="H549" s="2">
        <v>1</v>
      </c>
      <c r="I549" s="2">
        <v>7</v>
      </c>
      <c r="J549" s="15">
        <v>2.73</v>
      </c>
      <c r="K549" s="40">
        <v>0</v>
      </c>
    </row>
    <row r="550" spans="1:11" x14ac:dyDescent="0.25">
      <c r="A550" s="1">
        <v>1003951</v>
      </c>
      <c r="B550" s="1" t="s">
        <v>453</v>
      </c>
      <c r="D550" s="2">
        <v>0</v>
      </c>
      <c r="E550" s="2" t="s">
        <v>0</v>
      </c>
      <c r="F550" s="2" t="s">
        <v>42</v>
      </c>
      <c r="G550" s="1" t="s">
        <v>1968</v>
      </c>
      <c r="H550" s="2">
        <v>1</v>
      </c>
      <c r="I550" s="2">
        <v>7</v>
      </c>
      <c r="J550" s="15">
        <v>1.86</v>
      </c>
      <c r="K550" s="40">
        <v>0</v>
      </c>
    </row>
    <row r="551" spans="1:11" x14ac:dyDescent="0.25">
      <c r="A551" s="1">
        <v>5413838</v>
      </c>
      <c r="B551" s="1" t="s">
        <v>454</v>
      </c>
      <c r="D551" s="2">
        <v>0</v>
      </c>
      <c r="E551" s="2" t="s">
        <v>0</v>
      </c>
      <c r="F551" s="2" t="s">
        <v>42</v>
      </c>
      <c r="G551" s="1" t="s">
        <v>1968</v>
      </c>
      <c r="H551" s="2">
        <v>1</v>
      </c>
      <c r="I551" s="2">
        <v>7</v>
      </c>
      <c r="J551" s="15">
        <v>3.48</v>
      </c>
      <c r="K551" s="40">
        <v>0</v>
      </c>
    </row>
    <row r="552" spans="1:11" x14ac:dyDescent="0.25">
      <c r="A552" s="1">
        <v>2964005</v>
      </c>
      <c r="B552" s="1" t="s">
        <v>455</v>
      </c>
      <c r="D552" s="2">
        <v>0</v>
      </c>
      <c r="E552" s="2" t="s">
        <v>0</v>
      </c>
      <c r="F552" s="2" t="s">
        <v>557</v>
      </c>
      <c r="G552" s="1" t="s">
        <v>1968</v>
      </c>
      <c r="H552" s="2">
        <v>1</v>
      </c>
      <c r="I552" s="2">
        <v>7</v>
      </c>
      <c r="J552" s="15">
        <v>26.77</v>
      </c>
      <c r="K552" s="40">
        <v>0</v>
      </c>
    </row>
    <row r="553" spans="1:11" x14ac:dyDescent="0.25">
      <c r="A553" s="1">
        <v>1168388</v>
      </c>
      <c r="B553" s="1" t="s">
        <v>456</v>
      </c>
      <c r="D553" s="2">
        <v>0</v>
      </c>
      <c r="E553" s="2" t="s">
        <v>0</v>
      </c>
      <c r="F553" s="2" t="s">
        <v>557</v>
      </c>
      <c r="G553" s="1" t="s">
        <v>1968</v>
      </c>
      <c r="H553" s="2">
        <v>1</v>
      </c>
      <c r="I553" s="2">
        <v>7</v>
      </c>
      <c r="J553" s="15">
        <v>28.1</v>
      </c>
      <c r="K553" s="40">
        <v>0</v>
      </c>
    </row>
    <row r="554" spans="1:11" x14ac:dyDescent="0.25">
      <c r="A554" s="1">
        <v>2964002</v>
      </c>
      <c r="B554" s="1" t="s">
        <v>457</v>
      </c>
      <c r="D554" s="2">
        <v>0</v>
      </c>
      <c r="E554" s="2" t="s">
        <v>0</v>
      </c>
      <c r="F554" s="2" t="s">
        <v>557</v>
      </c>
      <c r="G554" s="1" t="s">
        <v>1968</v>
      </c>
      <c r="H554" s="2">
        <v>1</v>
      </c>
      <c r="I554" s="2">
        <v>7</v>
      </c>
      <c r="J554" s="15">
        <v>21.7</v>
      </c>
      <c r="K554" s="40">
        <v>0</v>
      </c>
    </row>
    <row r="555" spans="1:11" x14ac:dyDescent="0.25">
      <c r="A555" s="1">
        <v>2964008</v>
      </c>
      <c r="B555" s="1" t="s">
        <v>458</v>
      </c>
      <c r="D555" s="2">
        <v>0</v>
      </c>
      <c r="E555" s="2" t="s">
        <v>0</v>
      </c>
      <c r="F555" s="2" t="s">
        <v>557</v>
      </c>
      <c r="G555" s="1" t="s">
        <v>1968</v>
      </c>
      <c r="H555" s="2">
        <v>1</v>
      </c>
      <c r="I555" s="2">
        <v>7</v>
      </c>
      <c r="J555" s="15">
        <v>21.7</v>
      </c>
      <c r="K555" s="40">
        <v>0</v>
      </c>
    </row>
    <row r="556" spans="1:11" x14ac:dyDescent="0.25">
      <c r="A556" s="1">
        <v>2964009</v>
      </c>
      <c r="B556" s="1" t="s">
        <v>459</v>
      </c>
      <c r="D556" s="2">
        <v>0</v>
      </c>
      <c r="E556" s="2" t="s">
        <v>0</v>
      </c>
      <c r="F556" s="2" t="s">
        <v>557</v>
      </c>
      <c r="G556" s="1" t="s">
        <v>1968</v>
      </c>
      <c r="H556" s="2">
        <v>1</v>
      </c>
      <c r="I556" s="2">
        <v>7</v>
      </c>
      <c r="J556" s="15">
        <v>23.38</v>
      </c>
      <c r="K556" s="40">
        <v>0</v>
      </c>
    </row>
    <row r="557" spans="1:11" x14ac:dyDescent="0.25">
      <c r="A557" s="1">
        <v>1168387</v>
      </c>
      <c r="B557" s="1" t="s">
        <v>460</v>
      </c>
      <c r="D557" s="2">
        <v>0</v>
      </c>
      <c r="E557" s="2" t="s">
        <v>0</v>
      </c>
      <c r="F557" s="2" t="s">
        <v>557</v>
      </c>
      <c r="G557" s="1" t="s">
        <v>1968</v>
      </c>
      <c r="H557" s="2">
        <v>1</v>
      </c>
      <c r="I557" s="2">
        <v>7</v>
      </c>
      <c r="J557" s="15">
        <v>24.6</v>
      </c>
      <c r="K557" s="40">
        <v>0</v>
      </c>
    </row>
    <row r="558" spans="1:11" x14ac:dyDescent="0.25">
      <c r="A558" s="1">
        <v>1099351</v>
      </c>
      <c r="B558" s="1" t="s">
        <v>461</v>
      </c>
      <c r="D558" s="2">
        <v>0</v>
      </c>
      <c r="E558" s="2" t="s">
        <v>0</v>
      </c>
      <c r="F558" s="2" t="s">
        <v>557</v>
      </c>
      <c r="G558" s="1" t="s">
        <v>1968</v>
      </c>
      <c r="H558" s="2">
        <v>1</v>
      </c>
      <c r="I558" s="2">
        <v>7</v>
      </c>
      <c r="J558" s="15">
        <v>25.62</v>
      </c>
      <c r="K558" s="40">
        <v>0</v>
      </c>
    </row>
    <row r="559" spans="1:11" x14ac:dyDescent="0.25">
      <c r="A559" s="1">
        <v>2964006</v>
      </c>
      <c r="B559" s="1" t="s">
        <v>462</v>
      </c>
      <c r="D559" s="2">
        <v>0</v>
      </c>
      <c r="E559" s="2" t="s">
        <v>0</v>
      </c>
      <c r="F559" s="2" t="s">
        <v>557</v>
      </c>
      <c r="G559" s="1" t="s">
        <v>1968</v>
      </c>
      <c r="H559" s="2">
        <v>1</v>
      </c>
      <c r="I559" s="2">
        <v>7</v>
      </c>
      <c r="J559" s="15">
        <v>26.88</v>
      </c>
      <c r="K559" s="40">
        <v>0</v>
      </c>
    </row>
    <row r="560" spans="1:11" x14ac:dyDescent="0.25">
      <c r="A560" s="1">
        <v>1168389</v>
      </c>
      <c r="B560" s="1" t="s">
        <v>463</v>
      </c>
      <c r="D560" s="2">
        <v>0</v>
      </c>
      <c r="E560" s="2" t="s">
        <v>0</v>
      </c>
      <c r="F560" s="2" t="s">
        <v>557</v>
      </c>
      <c r="G560" s="1" t="s">
        <v>1968</v>
      </c>
      <c r="H560" s="2">
        <v>1</v>
      </c>
      <c r="I560" s="2">
        <v>7</v>
      </c>
      <c r="J560" s="15">
        <v>11.23</v>
      </c>
      <c r="K560" s="40">
        <v>0</v>
      </c>
    </row>
    <row r="561" spans="1:11" x14ac:dyDescent="0.25">
      <c r="A561" s="1">
        <v>1099357</v>
      </c>
      <c r="B561" s="1" t="s">
        <v>464</v>
      </c>
      <c r="D561" s="2">
        <v>0</v>
      </c>
      <c r="E561" s="2" t="s">
        <v>0</v>
      </c>
      <c r="F561" s="2" t="s">
        <v>557</v>
      </c>
      <c r="G561" s="1" t="s">
        <v>1968</v>
      </c>
      <c r="H561" s="2">
        <v>1</v>
      </c>
      <c r="I561" s="2">
        <v>7</v>
      </c>
      <c r="J561" s="15">
        <v>12.62</v>
      </c>
      <c r="K561" s="40">
        <v>0</v>
      </c>
    </row>
    <row r="562" spans="1:11" x14ac:dyDescent="0.25">
      <c r="A562" s="1">
        <v>2964004</v>
      </c>
      <c r="B562" s="1" t="s">
        <v>465</v>
      </c>
      <c r="D562" s="2">
        <v>0</v>
      </c>
      <c r="E562" s="2" t="s">
        <v>0</v>
      </c>
      <c r="F562" s="2" t="s">
        <v>557</v>
      </c>
      <c r="G562" s="1" t="s">
        <v>1968</v>
      </c>
      <c r="H562" s="2">
        <v>1</v>
      </c>
      <c r="I562" s="2">
        <v>7</v>
      </c>
      <c r="J562" s="15">
        <v>10.38</v>
      </c>
      <c r="K562" s="40">
        <v>0</v>
      </c>
    </row>
    <row r="563" spans="1:11" x14ac:dyDescent="0.25">
      <c r="A563" s="1">
        <v>1168390</v>
      </c>
      <c r="B563" s="1" t="s">
        <v>466</v>
      </c>
      <c r="D563" s="2">
        <v>0</v>
      </c>
      <c r="E563" s="2" t="s">
        <v>0</v>
      </c>
      <c r="F563" s="2" t="s">
        <v>557</v>
      </c>
      <c r="G563" s="1" t="s">
        <v>1968</v>
      </c>
      <c r="H563" s="2">
        <v>1</v>
      </c>
      <c r="I563" s="2">
        <v>7</v>
      </c>
      <c r="J563" s="15">
        <v>2.75</v>
      </c>
      <c r="K563" s="40">
        <v>0</v>
      </c>
    </row>
    <row r="564" spans="1:11" x14ac:dyDescent="0.25">
      <c r="A564" s="1">
        <v>1017083</v>
      </c>
      <c r="B564" s="1" t="s">
        <v>467</v>
      </c>
      <c r="D564" s="2">
        <v>0</v>
      </c>
      <c r="E564" s="2" t="s">
        <v>56</v>
      </c>
      <c r="F564" s="2" t="s">
        <v>42</v>
      </c>
      <c r="G564" s="1" t="s">
        <v>1968</v>
      </c>
      <c r="H564" s="2">
        <v>1</v>
      </c>
      <c r="I564" s="2">
        <v>7</v>
      </c>
      <c r="J564" s="15">
        <v>54.63</v>
      </c>
      <c r="K564" s="40">
        <v>0</v>
      </c>
    </row>
    <row r="565" spans="1:11" x14ac:dyDescent="0.25">
      <c r="A565" s="1">
        <v>2242595</v>
      </c>
      <c r="B565" s="1" t="s">
        <v>468</v>
      </c>
      <c r="D565" s="2">
        <v>0</v>
      </c>
      <c r="E565" s="2" t="s">
        <v>0</v>
      </c>
      <c r="F565" s="2" t="s">
        <v>40</v>
      </c>
      <c r="G565" s="1" t="s">
        <v>1968</v>
      </c>
      <c r="H565" s="2">
        <v>1</v>
      </c>
      <c r="I565" s="2">
        <v>7</v>
      </c>
      <c r="J565" s="15">
        <v>5.65</v>
      </c>
      <c r="K565" s="40">
        <v>0</v>
      </c>
    </row>
    <row r="566" spans="1:11" x14ac:dyDescent="0.25">
      <c r="A566" s="1">
        <v>2242593</v>
      </c>
      <c r="B566" s="1" t="s">
        <v>469</v>
      </c>
      <c r="D566" s="2">
        <v>0</v>
      </c>
      <c r="E566" s="2" t="s">
        <v>0</v>
      </c>
      <c r="F566" s="2" t="s">
        <v>40</v>
      </c>
      <c r="G566" s="1" t="s">
        <v>1969</v>
      </c>
      <c r="H566" s="2">
        <v>1</v>
      </c>
      <c r="I566" s="2">
        <v>7</v>
      </c>
      <c r="J566" s="15">
        <v>1.66</v>
      </c>
      <c r="K566" s="40">
        <v>0</v>
      </c>
    </row>
    <row r="567" spans="1:11" x14ac:dyDescent="0.25">
      <c r="A567" s="1">
        <v>2242594</v>
      </c>
      <c r="B567" s="1" t="s">
        <v>470</v>
      </c>
      <c r="D567" s="2">
        <v>0</v>
      </c>
      <c r="E567" s="2" t="s">
        <v>0</v>
      </c>
      <c r="F567" s="2" t="s">
        <v>40</v>
      </c>
      <c r="G567" s="1" t="s">
        <v>1968</v>
      </c>
      <c r="H567" s="2">
        <v>1</v>
      </c>
      <c r="I567" s="2">
        <v>7</v>
      </c>
      <c r="J567" s="15">
        <v>1.93</v>
      </c>
      <c r="K567" s="40">
        <v>0</v>
      </c>
    </row>
    <row r="568" spans="1:11" x14ac:dyDescent="0.25">
      <c r="A568" s="1">
        <v>2325716</v>
      </c>
      <c r="B568" s="1" t="s">
        <v>563</v>
      </c>
      <c r="D568" s="2">
        <v>0</v>
      </c>
      <c r="E568" s="2" t="s">
        <v>0</v>
      </c>
      <c r="F568" s="2" t="s">
        <v>41</v>
      </c>
      <c r="G568" s="1" t="s">
        <v>1968</v>
      </c>
      <c r="H568" s="2">
        <v>1</v>
      </c>
      <c r="I568" s="2">
        <v>7</v>
      </c>
      <c r="J568" s="15">
        <v>7.3</v>
      </c>
      <c r="K568" s="40">
        <v>0</v>
      </c>
    </row>
    <row r="569" spans="1:11" x14ac:dyDescent="0.25">
      <c r="A569" s="1">
        <v>1070021</v>
      </c>
      <c r="B569" s="1" t="s">
        <v>471</v>
      </c>
      <c r="D569" s="2">
        <v>0</v>
      </c>
      <c r="E569" s="2" t="s">
        <v>0</v>
      </c>
      <c r="F569" s="2" t="s">
        <v>42</v>
      </c>
      <c r="G569" s="1" t="s">
        <v>1968</v>
      </c>
      <c r="H569" s="2">
        <v>1</v>
      </c>
      <c r="I569" s="2">
        <v>7</v>
      </c>
      <c r="J569" s="15">
        <v>54.34</v>
      </c>
      <c r="K569" s="40">
        <v>0</v>
      </c>
    </row>
    <row r="570" spans="1:11" x14ac:dyDescent="0.25">
      <c r="A570" s="1">
        <v>1776164</v>
      </c>
      <c r="B570" s="1" t="s">
        <v>472</v>
      </c>
      <c r="D570" s="2">
        <v>0</v>
      </c>
      <c r="E570" s="2" t="s">
        <v>56</v>
      </c>
      <c r="F570" s="2" t="s">
        <v>42</v>
      </c>
      <c r="G570" s="1" t="s">
        <v>1968</v>
      </c>
      <c r="H570" s="2">
        <v>1</v>
      </c>
      <c r="I570" s="2">
        <v>7</v>
      </c>
      <c r="J570" s="15">
        <v>54.89</v>
      </c>
      <c r="K570" s="40">
        <v>0</v>
      </c>
    </row>
    <row r="571" spans="1:11" x14ac:dyDescent="0.25">
      <c r="A571" s="1">
        <v>1016041</v>
      </c>
      <c r="B571" s="1" t="s">
        <v>473</v>
      </c>
      <c r="D571" s="2">
        <v>0</v>
      </c>
      <c r="E571" s="2" t="s">
        <v>0</v>
      </c>
      <c r="F571" s="2" t="s">
        <v>42</v>
      </c>
      <c r="G571" s="1" t="s">
        <v>1968</v>
      </c>
      <c r="H571" s="2">
        <v>1</v>
      </c>
      <c r="I571" s="2">
        <v>7</v>
      </c>
      <c r="J571" s="15">
        <v>24.01</v>
      </c>
      <c r="K571" s="40">
        <v>0</v>
      </c>
    </row>
    <row r="572" spans="1:11" x14ac:dyDescent="0.25">
      <c r="A572" s="1">
        <v>1096273</v>
      </c>
      <c r="B572" s="1" t="s">
        <v>474</v>
      </c>
      <c r="D572" s="2">
        <v>0</v>
      </c>
      <c r="E572" s="2" t="s">
        <v>0</v>
      </c>
      <c r="F572" s="2" t="s">
        <v>42</v>
      </c>
      <c r="G572" s="1" t="s">
        <v>1968</v>
      </c>
      <c r="H572" s="2">
        <v>1</v>
      </c>
      <c r="I572" s="2">
        <v>7</v>
      </c>
      <c r="J572" s="15">
        <v>28.24</v>
      </c>
      <c r="K572" s="40">
        <v>0</v>
      </c>
    </row>
    <row r="573" spans="1:11" x14ac:dyDescent="0.25">
      <c r="A573" s="1">
        <v>2981579</v>
      </c>
      <c r="B573" s="1" t="s">
        <v>475</v>
      </c>
      <c r="D573" s="2">
        <v>0</v>
      </c>
      <c r="E573" s="2" t="s">
        <v>0</v>
      </c>
      <c r="F573" s="2" t="s">
        <v>557</v>
      </c>
      <c r="G573" s="1" t="s">
        <v>1968</v>
      </c>
      <c r="H573" s="2">
        <v>1</v>
      </c>
      <c r="I573" s="2">
        <v>7</v>
      </c>
      <c r="J573" s="15">
        <v>95.48</v>
      </c>
      <c r="K573" s="40">
        <v>0</v>
      </c>
    </row>
    <row r="574" spans="1:11" x14ac:dyDescent="0.25">
      <c r="A574" s="1">
        <v>1124086</v>
      </c>
      <c r="B574" s="1" t="s">
        <v>476</v>
      </c>
      <c r="D574" s="2">
        <v>0</v>
      </c>
      <c r="E574" s="2" t="s">
        <v>0</v>
      </c>
      <c r="F574" s="2" t="s">
        <v>557</v>
      </c>
      <c r="G574" s="1" t="s">
        <v>1968</v>
      </c>
      <c r="H574" s="2">
        <v>1</v>
      </c>
      <c r="I574" s="2">
        <v>7</v>
      </c>
      <c r="J574" s="15">
        <v>227.5</v>
      </c>
      <c r="K574" s="40">
        <v>0</v>
      </c>
    </row>
    <row r="575" spans="1:11" x14ac:dyDescent="0.25">
      <c r="A575" s="1">
        <v>1018145</v>
      </c>
      <c r="B575" s="1" t="s">
        <v>477</v>
      </c>
      <c r="D575" s="2">
        <v>0</v>
      </c>
      <c r="E575" s="2" t="s">
        <v>0</v>
      </c>
      <c r="F575" s="2" t="s">
        <v>557</v>
      </c>
      <c r="G575" s="1" t="s">
        <v>1968</v>
      </c>
      <c r="H575" s="2">
        <v>1</v>
      </c>
      <c r="I575" s="2">
        <v>7</v>
      </c>
      <c r="J575" s="15">
        <v>106.28</v>
      </c>
      <c r="K575" s="40">
        <v>0</v>
      </c>
    </row>
    <row r="576" spans="1:11" x14ac:dyDescent="0.25">
      <c r="A576" s="1">
        <v>2981630</v>
      </c>
      <c r="B576" s="1" t="s">
        <v>478</v>
      </c>
      <c r="D576" s="2">
        <v>0</v>
      </c>
      <c r="E576" s="2" t="s">
        <v>302</v>
      </c>
      <c r="F576" s="2" t="s">
        <v>557</v>
      </c>
      <c r="G576" s="1" t="s">
        <v>1969</v>
      </c>
      <c r="H576" s="2">
        <v>1</v>
      </c>
      <c r="I576" s="2">
        <v>42</v>
      </c>
      <c r="J576" s="15">
        <v>116.71</v>
      </c>
      <c r="K576" s="40">
        <v>0</v>
      </c>
    </row>
    <row r="577" spans="1:11" x14ac:dyDescent="0.25">
      <c r="A577" s="1">
        <v>1027370</v>
      </c>
      <c r="B577" s="1" t="s">
        <v>479</v>
      </c>
      <c r="D577" s="2">
        <v>0</v>
      </c>
      <c r="E577" s="2" t="s">
        <v>131</v>
      </c>
      <c r="F577" s="2" t="s">
        <v>41</v>
      </c>
      <c r="G577" s="1" t="s">
        <v>1968</v>
      </c>
      <c r="H577" s="2">
        <v>1</v>
      </c>
      <c r="I577" s="2">
        <v>7</v>
      </c>
      <c r="J577" s="15">
        <v>63.85</v>
      </c>
      <c r="K577" s="40">
        <v>0</v>
      </c>
    </row>
    <row r="578" spans="1:11" x14ac:dyDescent="0.25">
      <c r="A578" s="1">
        <v>1083654</v>
      </c>
      <c r="B578" s="1" t="s">
        <v>584</v>
      </c>
      <c r="D578" s="2">
        <v>0</v>
      </c>
      <c r="E578" s="2" t="s">
        <v>0</v>
      </c>
      <c r="F578" s="2" t="s">
        <v>42</v>
      </c>
      <c r="G578" s="1" t="s">
        <v>1968</v>
      </c>
      <c r="H578" s="2">
        <v>1</v>
      </c>
      <c r="I578" s="2">
        <v>7</v>
      </c>
      <c r="J578" s="15">
        <v>166.24</v>
      </c>
      <c r="K578" s="40">
        <v>0</v>
      </c>
    </row>
    <row r="579" spans="1:11" x14ac:dyDescent="0.25">
      <c r="A579" s="1">
        <v>1068425</v>
      </c>
      <c r="B579" s="1" t="s">
        <v>480</v>
      </c>
      <c r="D579" s="2">
        <v>0</v>
      </c>
      <c r="E579" s="2" t="s">
        <v>0</v>
      </c>
      <c r="F579" s="2" t="s">
        <v>42</v>
      </c>
      <c r="G579" s="1" t="s">
        <v>1968</v>
      </c>
      <c r="H579" s="2">
        <v>1</v>
      </c>
      <c r="I579" s="2">
        <v>7</v>
      </c>
      <c r="J579" s="15">
        <v>352.1</v>
      </c>
      <c r="K579" s="40">
        <v>0</v>
      </c>
    </row>
    <row r="580" spans="1:11" x14ac:dyDescent="0.25">
      <c r="A580" s="1">
        <v>1068482</v>
      </c>
      <c r="B580" s="1" t="s">
        <v>481</v>
      </c>
      <c r="D580" s="2">
        <v>0</v>
      </c>
      <c r="E580" s="2" t="s">
        <v>0</v>
      </c>
      <c r="F580" s="2" t="s">
        <v>42</v>
      </c>
      <c r="G580" s="1" t="s">
        <v>1968</v>
      </c>
      <c r="H580" s="2">
        <v>1</v>
      </c>
      <c r="I580" s="2">
        <v>7</v>
      </c>
      <c r="J580" s="15">
        <v>290.91000000000003</v>
      </c>
      <c r="K580" s="40">
        <v>0</v>
      </c>
    </row>
    <row r="581" spans="1:11" x14ac:dyDescent="0.25">
      <c r="A581" s="1">
        <v>2252159</v>
      </c>
      <c r="B581" s="1" t="s">
        <v>482</v>
      </c>
      <c r="D581" s="2">
        <v>0</v>
      </c>
      <c r="E581" s="2" t="s">
        <v>0</v>
      </c>
      <c r="F581" s="2" t="s">
        <v>561</v>
      </c>
      <c r="G581" s="1" t="s">
        <v>1968</v>
      </c>
      <c r="H581" s="2">
        <v>1</v>
      </c>
      <c r="I581" s="2">
        <v>7</v>
      </c>
      <c r="J581" s="15">
        <v>190.61</v>
      </c>
      <c r="K581" s="40">
        <v>0</v>
      </c>
    </row>
    <row r="582" spans="1:11" x14ac:dyDescent="0.25">
      <c r="A582" s="1">
        <v>2962406</v>
      </c>
      <c r="B582" s="1" t="s">
        <v>17</v>
      </c>
      <c r="D582" s="2">
        <v>0</v>
      </c>
      <c r="E582" s="2" t="s">
        <v>0</v>
      </c>
      <c r="F582" s="2" t="s">
        <v>561</v>
      </c>
      <c r="G582" s="1" t="s">
        <v>2058</v>
      </c>
      <c r="H582" s="2">
        <v>1</v>
      </c>
      <c r="I582" s="2">
        <v>14</v>
      </c>
      <c r="J582" s="15">
        <v>1635.54</v>
      </c>
      <c r="K582" s="40">
        <v>0</v>
      </c>
    </row>
    <row r="583" spans="1:11" x14ac:dyDescent="0.25">
      <c r="A583" s="1">
        <v>2962728</v>
      </c>
      <c r="B583" s="1" t="s">
        <v>20</v>
      </c>
      <c r="D583" s="2">
        <v>0</v>
      </c>
      <c r="E583" s="2" t="s">
        <v>0</v>
      </c>
      <c r="F583" s="2" t="s">
        <v>561</v>
      </c>
      <c r="G583" s="1" t="s">
        <v>2058</v>
      </c>
      <c r="H583" s="2">
        <v>1</v>
      </c>
      <c r="I583" s="2">
        <v>14</v>
      </c>
      <c r="J583" s="15">
        <v>2716.67</v>
      </c>
      <c r="K583" s="40">
        <v>0</v>
      </c>
    </row>
    <row r="584" spans="1:11" x14ac:dyDescent="0.25">
      <c r="A584" s="1">
        <v>2962727</v>
      </c>
      <c r="B584" s="1" t="s">
        <v>19</v>
      </c>
      <c r="D584" s="2">
        <v>0</v>
      </c>
      <c r="E584" s="2" t="s">
        <v>0</v>
      </c>
      <c r="F584" s="2" t="s">
        <v>561</v>
      </c>
      <c r="G584" s="1" t="s">
        <v>2058</v>
      </c>
      <c r="H584" s="2">
        <v>1</v>
      </c>
      <c r="I584" s="2">
        <v>14</v>
      </c>
      <c r="J584" s="15">
        <v>1928.52</v>
      </c>
      <c r="K584" s="40">
        <v>0</v>
      </c>
    </row>
    <row r="585" spans="1:11" x14ac:dyDescent="0.25">
      <c r="A585" s="1">
        <v>2962118</v>
      </c>
      <c r="B585" s="1" t="s">
        <v>527</v>
      </c>
      <c r="D585" s="2">
        <v>0</v>
      </c>
      <c r="E585" s="2" t="s">
        <v>0</v>
      </c>
      <c r="F585" s="2" t="s">
        <v>561</v>
      </c>
      <c r="G585" s="1" t="s">
        <v>2058</v>
      </c>
      <c r="H585" s="2">
        <v>1</v>
      </c>
      <c r="I585" s="2">
        <v>14</v>
      </c>
      <c r="J585" s="15">
        <v>2242.4299999999998</v>
      </c>
      <c r="K585" s="40">
        <v>0</v>
      </c>
    </row>
    <row r="586" spans="1:11" x14ac:dyDescent="0.25">
      <c r="A586" s="1">
        <v>2962729</v>
      </c>
      <c r="B586" s="1" t="s">
        <v>582</v>
      </c>
      <c r="D586" s="2">
        <v>0</v>
      </c>
      <c r="E586" s="2" t="s">
        <v>0</v>
      </c>
      <c r="F586" s="2" t="s">
        <v>561</v>
      </c>
      <c r="G586" s="1" t="s">
        <v>2058</v>
      </c>
      <c r="H586" s="2">
        <v>1</v>
      </c>
      <c r="I586" s="2">
        <v>14</v>
      </c>
      <c r="J586" s="15">
        <v>1939.27</v>
      </c>
      <c r="K586" s="40">
        <v>0</v>
      </c>
    </row>
    <row r="587" spans="1:11" x14ac:dyDescent="0.25">
      <c r="A587" s="1">
        <v>2962217</v>
      </c>
      <c r="B587" s="1" t="s">
        <v>528</v>
      </c>
      <c r="D587" s="2">
        <v>0</v>
      </c>
      <c r="E587" s="2" t="s">
        <v>0</v>
      </c>
      <c r="F587" s="2" t="s">
        <v>561</v>
      </c>
      <c r="G587" s="1" t="s">
        <v>2058</v>
      </c>
      <c r="H587" s="2">
        <v>1</v>
      </c>
      <c r="I587" s="2">
        <v>14</v>
      </c>
      <c r="J587" s="15">
        <v>2303.65</v>
      </c>
      <c r="K587" s="40">
        <v>0</v>
      </c>
    </row>
    <row r="588" spans="1:11" x14ac:dyDescent="0.25">
      <c r="A588" s="1">
        <v>2962216</v>
      </c>
      <c r="B588" s="1" t="s">
        <v>583</v>
      </c>
      <c r="D588" s="2">
        <v>0</v>
      </c>
      <c r="E588" s="2" t="s">
        <v>0</v>
      </c>
      <c r="F588" s="2" t="s">
        <v>561</v>
      </c>
      <c r="G588" s="1" t="s">
        <v>2056</v>
      </c>
      <c r="H588" s="2">
        <v>1</v>
      </c>
      <c r="I588" s="2">
        <v>14</v>
      </c>
      <c r="J588" s="15">
        <v>2000.49</v>
      </c>
      <c r="K588" s="40">
        <v>0</v>
      </c>
    </row>
    <row r="589" spans="1:11" x14ac:dyDescent="0.25">
      <c r="A589" s="1">
        <v>1727911</v>
      </c>
      <c r="B589" s="1" t="s">
        <v>483</v>
      </c>
      <c r="D589" s="2">
        <v>0</v>
      </c>
      <c r="E589" s="2" t="s">
        <v>0</v>
      </c>
      <c r="F589" s="2" t="s">
        <v>561</v>
      </c>
      <c r="G589" s="1" t="s">
        <v>1968</v>
      </c>
      <c r="H589" s="2">
        <v>1</v>
      </c>
      <c r="I589" s="2">
        <v>7</v>
      </c>
      <c r="J589" s="15">
        <v>629.87</v>
      </c>
      <c r="K589" s="40">
        <v>0</v>
      </c>
    </row>
    <row r="590" spans="1:11" x14ac:dyDescent="0.25">
      <c r="A590" s="1">
        <v>1404747</v>
      </c>
      <c r="B590" s="1" t="s">
        <v>484</v>
      </c>
      <c r="D590" s="2">
        <v>0</v>
      </c>
      <c r="E590" s="2" t="s">
        <v>0</v>
      </c>
      <c r="F590" s="2" t="s">
        <v>561</v>
      </c>
      <c r="G590" s="1" t="s">
        <v>1968</v>
      </c>
      <c r="H590" s="2">
        <v>1</v>
      </c>
      <c r="I590" s="2">
        <v>7</v>
      </c>
      <c r="J590" s="15">
        <v>30.29</v>
      </c>
      <c r="K590" s="40">
        <v>0</v>
      </c>
    </row>
    <row r="591" spans="1:11" x14ac:dyDescent="0.25">
      <c r="A591" s="1">
        <v>1665250</v>
      </c>
      <c r="B591" s="1" t="s">
        <v>485</v>
      </c>
      <c r="D591" s="2">
        <v>0</v>
      </c>
      <c r="E591" s="2" t="s">
        <v>0</v>
      </c>
      <c r="F591" s="2" t="s">
        <v>561</v>
      </c>
      <c r="G591" s="1" t="s">
        <v>1968</v>
      </c>
      <c r="H591" s="2">
        <v>1</v>
      </c>
      <c r="I591" s="2">
        <v>7</v>
      </c>
      <c r="J591" s="15">
        <v>11.72</v>
      </c>
      <c r="K591" s="40">
        <v>0</v>
      </c>
    </row>
    <row r="592" spans="1:11" x14ac:dyDescent="0.25">
      <c r="A592" s="1">
        <v>2001954</v>
      </c>
      <c r="B592" s="1" t="s">
        <v>486</v>
      </c>
      <c r="D592" s="2">
        <v>0</v>
      </c>
      <c r="E592" s="2" t="s">
        <v>0</v>
      </c>
      <c r="F592" s="2" t="s">
        <v>561</v>
      </c>
      <c r="G592" s="1" t="s">
        <v>1968</v>
      </c>
      <c r="H592" s="2">
        <v>1</v>
      </c>
      <c r="I592" s="2">
        <v>7</v>
      </c>
      <c r="J592" s="15">
        <v>2290.69</v>
      </c>
      <c r="K592" s="40">
        <v>0</v>
      </c>
    </row>
    <row r="593" spans="1:11" x14ac:dyDescent="0.25">
      <c r="A593" s="1">
        <v>2001955</v>
      </c>
      <c r="B593" s="1" t="s">
        <v>487</v>
      </c>
      <c r="D593" s="2">
        <v>0</v>
      </c>
      <c r="E593" s="2" t="s">
        <v>0</v>
      </c>
      <c r="F593" s="2" t="s">
        <v>561</v>
      </c>
      <c r="G593" s="1" t="s">
        <v>1968</v>
      </c>
      <c r="H593" s="2">
        <v>1</v>
      </c>
      <c r="I593" s="2">
        <v>7</v>
      </c>
      <c r="J593" s="15">
        <v>2672.31</v>
      </c>
      <c r="K593" s="40">
        <v>0</v>
      </c>
    </row>
    <row r="594" spans="1:11" x14ac:dyDescent="0.25">
      <c r="A594" s="1">
        <v>2001952</v>
      </c>
      <c r="B594" s="1" t="s">
        <v>488</v>
      </c>
      <c r="D594" s="2">
        <v>0</v>
      </c>
      <c r="E594" s="2" t="s">
        <v>0</v>
      </c>
      <c r="F594" s="2" t="s">
        <v>561</v>
      </c>
      <c r="G594" s="1" t="s">
        <v>1968</v>
      </c>
      <c r="H594" s="2">
        <v>1</v>
      </c>
      <c r="I594" s="2">
        <v>7</v>
      </c>
      <c r="J594" s="15">
        <v>2078.29</v>
      </c>
      <c r="K594" s="40">
        <v>0</v>
      </c>
    </row>
    <row r="595" spans="1:11" x14ac:dyDescent="0.25">
      <c r="A595" s="1">
        <v>2001953</v>
      </c>
      <c r="B595" s="1" t="s">
        <v>489</v>
      </c>
      <c r="D595" s="2">
        <v>0</v>
      </c>
      <c r="E595" s="2" t="s">
        <v>0</v>
      </c>
      <c r="F595" s="2" t="s">
        <v>561</v>
      </c>
      <c r="G595" s="1" t="s">
        <v>1968</v>
      </c>
      <c r="H595" s="2">
        <v>1</v>
      </c>
      <c r="I595" s="2">
        <v>7</v>
      </c>
      <c r="J595" s="15">
        <v>2316.7399999999998</v>
      </c>
      <c r="K595" s="40">
        <v>0</v>
      </c>
    </row>
    <row r="596" spans="1:11" x14ac:dyDescent="0.25">
      <c r="A596" s="1">
        <v>1249246</v>
      </c>
      <c r="B596" s="1" t="s">
        <v>490</v>
      </c>
      <c r="D596" s="2">
        <v>0</v>
      </c>
      <c r="E596" s="2" t="s">
        <v>0</v>
      </c>
      <c r="F596" s="2" t="s">
        <v>561</v>
      </c>
      <c r="G596" s="1" t="s">
        <v>1968</v>
      </c>
      <c r="H596" s="2">
        <v>1</v>
      </c>
      <c r="I596" s="2">
        <v>7</v>
      </c>
      <c r="J596" s="15">
        <v>1249.42</v>
      </c>
      <c r="K596" s="40">
        <v>0</v>
      </c>
    </row>
    <row r="597" spans="1:11" x14ac:dyDescent="0.25">
      <c r="A597" s="1">
        <v>1199847</v>
      </c>
      <c r="B597" s="1" t="s">
        <v>491</v>
      </c>
      <c r="D597" s="2">
        <v>0</v>
      </c>
      <c r="E597" s="2" t="s">
        <v>0</v>
      </c>
      <c r="F597" s="2" t="s">
        <v>561</v>
      </c>
      <c r="G597" s="1" t="s">
        <v>1968</v>
      </c>
      <c r="H597" s="2">
        <v>1</v>
      </c>
      <c r="I597" s="2">
        <v>7</v>
      </c>
      <c r="J597" s="15">
        <v>1846.55</v>
      </c>
      <c r="K597" s="40">
        <v>0</v>
      </c>
    </row>
    <row r="598" spans="1:11" x14ac:dyDescent="0.25">
      <c r="A598" s="1">
        <v>2962405</v>
      </c>
      <c r="B598" s="1" t="s">
        <v>16</v>
      </c>
      <c r="D598" s="2">
        <v>0</v>
      </c>
      <c r="E598" s="2" t="s">
        <v>0</v>
      </c>
      <c r="F598" s="2" t="s">
        <v>561</v>
      </c>
      <c r="G598" s="1" t="s">
        <v>2058</v>
      </c>
      <c r="H598" s="2">
        <v>1</v>
      </c>
      <c r="I598" s="2">
        <v>14</v>
      </c>
      <c r="J598" s="15">
        <v>2589.3000000000002</v>
      </c>
      <c r="K598" s="40">
        <v>0</v>
      </c>
    </row>
    <row r="599" spans="1:11" x14ac:dyDescent="0.25">
      <c r="A599" s="1">
        <v>2962208</v>
      </c>
      <c r="B599" s="1" t="s">
        <v>11</v>
      </c>
      <c r="D599" s="2">
        <v>0</v>
      </c>
      <c r="E599" s="2" t="s">
        <v>0</v>
      </c>
      <c r="F599" s="2" t="s">
        <v>561</v>
      </c>
      <c r="G599" s="1" t="s">
        <v>2058</v>
      </c>
      <c r="H599" s="2">
        <v>1</v>
      </c>
      <c r="I599" s="2">
        <v>14</v>
      </c>
      <c r="J599" s="15">
        <v>3803.7</v>
      </c>
      <c r="K599" s="40">
        <v>0</v>
      </c>
    </row>
    <row r="600" spans="1:11" x14ac:dyDescent="0.25">
      <c r="A600" s="1">
        <v>2962317</v>
      </c>
      <c r="B600" s="1" t="s">
        <v>15</v>
      </c>
      <c r="D600" s="2">
        <v>0</v>
      </c>
      <c r="E600" s="2" t="s">
        <v>0</v>
      </c>
      <c r="F600" s="2" t="s">
        <v>561</v>
      </c>
      <c r="G600" s="1" t="s">
        <v>2056</v>
      </c>
      <c r="H600" s="2">
        <v>1</v>
      </c>
      <c r="I600" s="2">
        <v>14</v>
      </c>
      <c r="J600" s="15">
        <v>3856.84</v>
      </c>
      <c r="K600" s="40">
        <v>0</v>
      </c>
    </row>
    <row r="601" spans="1:11" x14ac:dyDescent="0.25">
      <c r="A601" s="1">
        <v>1223607</v>
      </c>
      <c r="B601" s="1" t="s">
        <v>492</v>
      </c>
      <c r="D601" s="2">
        <v>0</v>
      </c>
      <c r="E601" s="2" t="s">
        <v>0</v>
      </c>
      <c r="F601" s="2" t="s">
        <v>42</v>
      </c>
      <c r="G601" s="1" t="s">
        <v>1968</v>
      </c>
      <c r="H601" s="2">
        <v>1</v>
      </c>
      <c r="I601" s="2">
        <v>7</v>
      </c>
      <c r="J601" s="15">
        <v>23.65</v>
      </c>
      <c r="K601" s="40">
        <v>0</v>
      </c>
    </row>
    <row r="602" spans="1:11" x14ac:dyDescent="0.25">
      <c r="A602" s="1">
        <v>2204636</v>
      </c>
      <c r="B602" s="1" t="s">
        <v>493</v>
      </c>
      <c r="D602" s="2">
        <v>0</v>
      </c>
      <c r="E602" s="2" t="s">
        <v>0</v>
      </c>
      <c r="F602" s="2" t="s">
        <v>40</v>
      </c>
      <c r="G602" s="1" t="s">
        <v>1968</v>
      </c>
      <c r="H602" s="2">
        <v>1</v>
      </c>
      <c r="I602" s="2">
        <v>7</v>
      </c>
      <c r="J602" s="15">
        <v>20.21</v>
      </c>
      <c r="K602" s="40">
        <v>0</v>
      </c>
    </row>
    <row r="603" spans="1:11" x14ac:dyDescent="0.25">
      <c r="A603" s="1">
        <v>2204625</v>
      </c>
      <c r="B603" s="1" t="s">
        <v>494</v>
      </c>
      <c r="D603" s="2">
        <v>0</v>
      </c>
      <c r="E603" s="2" t="s">
        <v>0</v>
      </c>
      <c r="F603" s="2" t="s">
        <v>40</v>
      </c>
      <c r="G603" s="1" t="s">
        <v>1968</v>
      </c>
      <c r="H603" s="2">
        <v>1</v>
      </c>
      <c r="I603" s="2">
        <v>7</v>
      </c>
      <c r="J603" s="15">
        <v>1.53</v>
      </c>
      <c r="K603" s="40">
        <v>0</v>
      </c>
    </row>
    <row r="604" spans="1:11" x14ac:dyDescent="0.25">
      <c r="A604" s="1">
        <v>2204640</v>
      </c>
      <c r="B604" s="1" t="s">
        <v>495</v>
      </c>
      <c r="D604" s="2">
        <v>0</v>
      </c>
      <c r="E604" s="2" t="s">
        <v>0</v>
      </c>
      <c r="F604" s="2" t="s">
        <v>40</v>
      </c>
      <c r="G604" s="1" t="s">
        <v>1968</v>
      </c>
      <c r="H604" s="2">
        <v>1</v>
      </c>
      <c r="I604" s="2">
        <v>7</v>
      </c>
      <c r="J604" s="15">
        <v>3.19</v>
      </c>
      <c r="K604" s="40">
        <v>0</v>
      </c>
    </row>
    <row r="605" spans="1:11" x14ac:dyDescent="0.25">
      <c r="A605" s="1">
        <v>2204429</v>
      </c>
      <c r="B605" s="1" t="s">
        <v>496</v>
      </c>
      <c r="D605" s="2">
        <v>0</v>
      </c>
      <c r="E605" s="2" t="s">
        <v>0</v>
      </c>
      <c r="F605" s="2" t="s">
        <v>40</v>
      </c>
      <c r="G605" s="1" t="s">
        <v>786</v>
      </c>
      <c r="H605" s="2">
        <v>1</v>
      </c>
      <c r="I605" s="2">
        <v>7</v>
      </c>
      <c r="K605" s="40">
        <v>0</v>
      </c>
    </row>
    <row r="606" spans="1:11" x14ac:dyDescent="0.25">
      <c r="A606" s="1">
        <v>2204513</v>
      </c>
      <c r="B606" s="1" t="s">
        <v>497</v>
      </c>
      <c r="D606" s="2">
        <v>0</v>
      </c>
      <c r="E606" s="2" t="s">
        <v>0</v>
      </c>
      <c r="F606" s="2" t="s">
        <v>40</v>
      </c>
      <c r="G606" s="1" t="s">
        <v>1968</v>
      </c>
      <c r="H606" s="2">
        <v>1</v>
      </c>
      <c r="I606" s="2">
        <v>7</v>
      </c>
      <c r="J606" s="15">
        <v>0.44</v>
      </c>
      <c r="K606" s="40">
        <v>0</v>
      </c>
    </row>
    <row r="607" spans="1:11" x14ac:dyDescent="0.25">
      <c r="A607" s="1">
        <v>2204209</v>
      </c>
      <c r="B607" s="1" t="s">
        <v>498</v>
      </c>
      <c r="D607" s="2">
        <v>0</v>
      </c>
      <c r="E607" s="2" t="s">
        <v>56</v>
      </c>
      <c r="F607" s="2" t="s">
        <v>40</v>
      </c>
      <c r="G607" s="1" t="s">
        <v>1968</v>
      </c>
      <c r="H607" s="2">
        <v>1</v>
      </c>
      <c r="I607" s="2">
        <v>7</v>
      </c>
      <c r="J607" s="15">
        <v>0.57999999999999996</v>
      </c>
      <c r="K607" s="40">
        <v>0</v>
      </c>
    </row>
    <row r="608" spans="1:11" x14ac:dyDescent="0.25">
      <c r="A608" s="1">
        <v>2204521</v>
      </c>
      <c r="B608" s="1" t="s">
        <v>499</v>
      </c>
      <c r="D608" s="2">
        <v>0</v>
      </c>
      <c r="E608" s="2" t="s">
        <v>0</v>
      </c>
      <c r="F608" s="2" t="s">
        <v>40</v>
      </c>
      <c r="G608" s="1" t="s">
        <v>1968</v>
      </c>
      <c r="H608" s="2">
        <v>1</v>
      </c>
      <c r="I608" s="2">
        <v>7</v>
      </c>
      <c r="J608" s="15">
        <v>4.92</v>
      </c>
      <c r="K608" s="40">
        <v>0</v>
      </c>
    </row>
    <row r="609" spans="1:11" x14ac:dyDescent="0.25">
      <c r="A609" s="1">
        <v>2012802</v>
      </c>
      <c r="B609" s="1" t="s">
        <v>500</v>
      </c>
      <c r="D609" s="2">
        <v>0</v>
      </c>
      <c r="E609" s="2" t="s">
        <v>302</v>
      </c>
      <c r="F609" s="2" t="s">
        <v>41</v>
      </c>
      <c r="G609" s="1" t="s">
        <v>1968</v>
      </c>
      <c r="H609" s="2">
        <v>1</v>
      </c>
      <c r="I609" s="2">
        <v>7</v>
      </c>
      <c r="J609" s="15">
        <v>225.09</v>
      </c>
      <c r="K609" s="40">
        <v>0</v>
      </c>
    </row>
    <row r="610" spans="1:11" x14ac:dyDescent="0.25">
      <c r="A610" s="1">
        <v>1011824</v>
      </c>
      <c r="B610" s="1" t="s">
        <v>501</v>
      </c>
      <c r="D610" s="2">
        <v>0</v>
      </c>
      <c r="E610" s="2" t="s">
        <v>302</v>
      </c>
      <c r="F610" s="2" t="s">
        <v>41</v>
      </c>
      <c r="G610" s="1" t="s">
        <v>1968</v>
      </c>
      <c r="H610" s="2">
        <v>1</v>
      </c>
      <c r="I610" s="2">
        <v>7</v>
      </c>
      <c r="J610" s="15">
        <v>49.03</v>
      </c>
      <c r="K610" s="40">
        <v>0</v>
      </c>
    </row>
    <row r="611" spans="1:11" x14ac:dyDescent="0.25">
      <c r="A611" s="1">
        <v>1354234</v>
      </c>
      <c r="B611" s="1" t="s">
        <v>502</v>
      </c>
      <c r="D611" s="2">
        <v>0</v>
      </c>
      <c r="E611" s="2" t="s">
        <v>0</v>
      </c>
      <c r="F611" s="2" t="s">
        <v>557</v>
      </c>
      <c r="G611" s="1" t="s">
        <v>1968</v>
      </c>
      <c r="H611" s="2">
        <v>1</v>
      </c>
      <c r="I611" s="2">
        <v>7</v>
      </c>
      <c r="J611" s="15">
        <v>69.91</v>
      </c>
      <c r="K611" s="40">
        <v>0</v>
      </c>
    </row>
    <row r="612" spans="1:11" x14ac:dyDescent="0.25">
      <c r="A612" s="1">
        <v>1126447</v>
      </c>
      <c r="B612" s="1" t="s">
        <v>503</v>
      </c>
      <c r="D612" s="2">
        <v>0</v>
      </c>
      <c r="E612" s="2" t="s">
        <v>302</v>
      </c>
      <c r="F612" s="2" t="s">
        <v>42</v>
      </c>
      <c r="G612" s="1" t="s">
        <v>1968</v>
      </c>
      <c r="H612" s="2">
        <v>1</v>
      </c>
      <c r="I612" s="2">
        <v>7</v>
      </c>
      <c r="J612" s="15">
        <v>27.02</v>
      </c>
      <c r="K612" s="40">
        <v>0</v>
      </c>
    </row>
    <row r="613" spans="1:11" x14ac:dyDescent="0.25">
      <c r="A613" s="1">
        <v>3041717</v>
      </c>
      <c r="B613" s="1" t="s">
        <v>504</v>
      </c>
      <c r="D613" s="2">
        <v>0</v>
      </c>
      <c r="E613" s="2" t="s">
        <v>302</v>
      </c>
      <c r="F613" s="2" t="s">
        <v>42</v>
      </c>
      <c r="G613" s="1" t="s">
        <v>1968</v>
      </c>
      <c r="H613" s="2">
        <v>1</v>
      </c>
      <c r="I613" s="2">
        <v>7</v>
      </c>
      <c r="J613" s="15">
        <v>83.53</v>
      </c>
      <c r="K613" s="40">
        <v>0</v>
      </c>
    </row>
    <row r="614" spans="1:11" x14ac:dyDescent="0.25">
      <c r="A614" s="1">
        <v>2253302</v>
      </c>
      <c r="B614" s="1" t="s">
        <v>505</v>
      </c>
      <c r="D614" s="2">
        <v>0</v>
      </c>
      <c r="E614" s="2" t="s">
        <v>0</v>
      </c>
      <c r="F614" s="2" t="s">
        <v>561</v>
      </c>
      <c r="G614" s="1" t="s">
        <v>1968</v>
      </c>
      <c r="H614" s="2">
        <v>1</v>
      </c>
      <c r="I614" s="2">
        <v>7</v>
      </c>
      <c r="J614" s="15">
        <v>152.96</v>
      </c>
      <c r="K614" s="40">
        <v>0</v>
      </c>
    </row>
    <row r="615" spans="1:11" x14ac:dyDescent="0.25">
      <c r="A615" s="1">
        <v>2005551</v>
      </c>
      <c r="B615" s="1" t="s">
        <v>551</v>
      </c>
      <c r="D615" s="2">
        <v>0</v>
      </c>
      <c r="E615" s="2" t="s">
        <v>0</v>
      </c>
      <c r="F615" s="2" t="s">
        <v>42</v>
      </c>
      <c r="G615" s="1" t="s">
        <v>1968</v>
      </c>
      <c r="H615" s="2">
        <v>1</v>
      </c>
      <c r="I615" s="2">
        <v>7</v>
      </c>
      <c r="J615" s="15">
        <v>44.16</v>
      </c>
      <c r="K615" s="40">
        <v>0</v>
      </c>
    </row>
    <row r="616" spans="1:11" x14ac:dyDescent="0.25">
      <c r="A616" s="1">
        <v>2336052</v>
      </c>
      <c r="B616" s="1" t="s">
        <v>616</v>
      </c>
      <c r="D616" s="2">
        <v>0</v>
      </c>
      <c r="E616" s="2" t="s">
        <v>131</v>
      </c>
      <c r="F616" s="2" t="s">
        <v>42</v>
      </c>
      <c r="G616" s="1" t="s">
        <v>1968</v>
      </c>
      <c r="H616" s="2">
        <v>1</v>
      </c>
      <c r="I616" s="2">
        <v>7</v>
      </c>
      <c r="J616" s="15">
        <v>31.91</v>
      </c>
      <c r="K616" s="40">
        <v>0</v>
      </c>
    </row>
    <row r="617" spans="1:11" x14ac:dyDescent="0.25">
      <c r="A617" s="1">
        <v>1127525</v>
      </c>
      <c r="B617" s="1" t="s">
        <v>617</v>
      </c>
      <c r="D617" s="2">
        <v>0</v>
      </c>
      <c r="E617" s="2" t="s">
        <v>56</v>
      </c>
      <c r="F617" s="2" t="s">
        <v>41</v>
      </c>
      <c r="G617" s="1" t="s">
        <v>1968</v>
      </c>
      <c r="H617" s="2">
        <v>1</v>
      </c>
      <c r="I617" s="2">
        <v>7</v>
      </c>
      <c r="J617" s="15">
        <v>2.52</v>
      </c>
      <c r="K617" s="40">
        <v>0</v>
      </c>
    </row>
    <row r="618" spans="1:11" x14ac:dyDescent="0.25">
      <c r="A618" s="1">
        <v>2369642</v>
      </c>
      <c r="B618" s="1" t="s">
        <v>618</v>
      </c>
      <c r="D618" s="2">
        <v>0</v>
      </c>
      <c r="E618" s="2" t="s">
        <v>0</v>
      </c>
      <c r="F618" s="2" t="s">
        <v>43</v>
      </c>
      <c r="G618" s="1" t="s">
        <v>1968</v>
      </c>
      <c r="H618" s="2">
        <v>1</v>
      </c>
      <c r="I618" s="2">
        <v>7</v>
      </c>
      <c r="J618" s="15">
        <v>39.11</v>
      </c>
      <c r="K618" s="40">
        <v>0</v>
      </c>
    </row>
    <row r="619" spans="1:11" x14ac:dyDescent="0.25">
      <c r="A619" s="1">
        <v>2369643</v>
      </c>
      <c r="B619" s="1" t="s">
        <v>619</v>
      </c>
      <c r="D619" s="2">
        <v>0</v>
      </c>
      <c r="E619" s="2" t="s">
        <v>0</v>
      </c>
      <c r="F619" s="2" t="s">
        <v>43</v>
      </c>
      <c r="G619" s="1" t="s">
        <v>1968</v>
      </c>
      <c r="H619" s="2">
        <v>1</v>
      </c>
      <c r="I619" s="2">
        <v>7</v>
      </c>
      <c r="J619" s="15">
        <v>59.86</v>
      </c>
      <c r="K619" s="40">
        <v>0</v>
      </c>
    </row>
    <row r="620" spans="1:11" x14ac:dyDescent="0.25">
      <c r="A620" s="1">
        <v>2369644</v>
      </c>
      <c r="B620" s="1" t="s">
        <v>620</v>
      </c>
      <c r="D620" s="2">
        <v>0</v>
      </c>
      <c r="E620" s="2" t="s">
        <v>0</v>
      </c>
      <c r="F620" s="2" t="s">
        <v>43</v>
      </c>
      <c r="G620" s="1" t="s">
        <v>1968</v>
      </c>
      <c r="H620" s="2">
        <v>1</v>
      </c>
      <c r="I620" s="2">
        <v>7</v>
      </c>
      <c r="J620" s="15">
        <v>89.3</v>
      </c>
      <c r="K620" s="40">
        <v>0</v>
      </c>
    </row>
    <row r="621" spans="1:11" x14ac:dyDescent="0.25">
      <c r="A621" s="1">
        <v>2369645</v>
      </c>
      <c r="B621" s="1" t="s">
        <v>621</v>
      </c>
      <c r="D621" s="2">
        <v>0</v>
      </c>
      <c r="E621" s="2" t="s">
        <v>0</v>
      </c>
      <c r="F621" s="2" t="s">
        <v>43</v>
      </c>
      <c r="G621" s="1" t="s">
        <v>1968</v>
      </c>
      <c r="H621" s="2">
        <v>1</v>
      </c>
      <c r="I621" s="2">
        <v>7</v>
      </c>
      <c r="J621" s="15">
        <v>110.08</v>
      </c>
      <c r="K621" s="40">
        <v>0</v>
      </c>
    </row>
    <row r="622" spans="1:11" x14ac:dyDescent="0.25">
      <c r="A622" s="1">
        <v>2369646</v>
      </c>
      <c r="B622" s="1" t="s">
        <v>622</v>
      </c>
      <c r="D622" s="2">
        <v>0</v>
      </c>
      <c r="E622" s="2" t="s">
        <v>0</v>
      </c>
      <c r="F622" s="2" t="s">
        <v>43</v>
      </c>
      <c r="G622" s="1" t="s">
        <v>1968</v>
      </c>
      <c r="H622" s="2">
        <v>1</v>
      </c>
      <c r="I622" s="2">
        <v>7</v>
      </c>
      <c r="J622" s="15">
        <v>154.31</v>
      </c>
      <c r="K622" s="40">
        <v>0</v>
      </c>
    </row>
    <row r="623" spans="1:11" x14ac:dyDescent="0.25">
      <c r="A623" s="1">
        <v>2369648</v>
      </c>
      <c r="B623" s="1" t="s">
        <v>623</v>
      </c>
      <c r="D623" s="2">
        <v>0</v>
      </c>
      <c r="E623" s="2" t="s">
        <v>0</v>
      </c>
      <c r="F623" s="2" t="s">
        <v>43</v>
      </c>
      <c r="G623" s="1" t="s">
        <v>1968</v>
      </c>
      <c r="H623" s="2">
        <v>1</v>
      </c>
      <c r="I623" s="2">
        <v>7</v>
      </c>
      <c r="J623" s="15">
        <v>221.77</v>
      </c>
      <c r="K623" s="40">
        <v>0</v>
      </c>
    </row>
    <row r="624" spans="1:11" x14ac:dyDescent="0.25">
      <c r="A624" s="1">
        <v>2369647</v>
      </c>
      <c r="B624" s="1" t="s">
        <v>624</v>
      </c>
      <c r="D624" s="2">
        <v>0</v>
      </c>
      <c r="E624" s="2" t="s">
        <v>0</v>
      </c>
      <c r="F624" s="2" t="s">
        <v>43</v>
      </c>
      <c r="G624" s="1" t="s">
        <v>1968</v>
      </c>
      <c r="H624" s="2">
        <v>1</v>
      </c>
      <c r="I624" s="2">
        <v>7</v>
      </c>
      <c r="J624" s="15">
        <v>199.67</v>
      </c>
      <c r="K624" s="40">
        <v>0</v>
      </c>
    </row>
    <row r="625" spans="1:11" x14ac:dyDescent="0.25">
      <c r="A625" s="1">
        <v>1370030</v>
      </c>
      <c r="B625" s="1" t="s">
        <v>626</v>
      </c>
      <c r="D625" s="2">
        <v>0</v>
      </c>
      <c r="E625" s="2" t="s">
        <v>302</v>
      </c>
      <c r="F625" s="2" t="s">
        <v>40</v>
      </c>
      <c r="G625" s="1" t="s">
        <v>786</v>
      </c>
      <c r="H625" s="2">
        <v>1</v>
      </c>
      <c r="I625" s="2">
        <v>7</v>
      </c>
      <c r="K625" s="40">
        <v>0</v>
      </c>
    </row>
    <row r="626" spans="1:11" x14ac:dyDescent="0.25">
      <c r="A626" s="1">
        <v>2380580</v>
      </c>
      <c r="B626" s="1" t="s">
        <v>634</v>
      </c>
      <c r="D626" s="2">
        <v>0</v>
      </c>
      <c r="E626" s="2" t="s">
        <v>0</v>
      </c>
      <c r="F626" s="2" t="s">
        <v>561</v>
      </c>
      <c r="G626" s="1" t="s">
        <v>2058</v>
      </c>
      <c r="H626" s="2">
        <v>1</v>
      </c>
      <c r="I626" s="2">
        <v>14</v>
      </c>
      <c r="J626" s="15">
        <v>1701.3</v>
      </c>
      <c r="K626" s="40">
        <v>0</v>
      </c>
    </row>
    <row r="627" spans="1:11" x14ac:dyDescent="0.25">
      <c r="A627" s="1">
        <v>2285697</v>
      </c>
      <c r="B627" s="1" t="s">
        <v>635</v>
      </c>
      <c r="D627" s="2">
        <v>0</v>
      </c>
      <c r="E627" s="2" t="s">
        <v>0</v>
      </c>
      <c r="F627" s="2" t="s">
        <v>561</v>
      </c>
      <c r="G627" s="1" t="s">
        <v>1968</v>
      </c>
      <c r="H627" s="2">
        <v>1</v>
      </c>
      <c r="I627" s="2">
        <v>7</v>
      </c>
      <c r="J627" s="15">
        <v>346.67</v>
      </c>
      <c r="K627" s="40">
        <v>0</v>
      </c>
    </row>
    <row r="628" spans="1:11" x14ac:dyDescent="0.25">
      <c r="A628" s="1">
        <v>1168953</v>
      </c>
      <c r="B628" s="1" t="s">
        <v>636</v>
      </c>
      <c r="D628" s="2">
        <v>0</v>
      </c>
      <c r="E628" s="2" t="s">
        <v>131</v>
      </c>
      <c r="F628" s="2" t="s">
        <v>561</v>
      </c>
      <c r="G628" s="1" t="s">
        <v>1968</v>
      </c>
      <c r="H628" s="2">
        <v>1</v>
      </c>
      <c r="I628" s="2">
        <v>7</v>
      </c>
      <c r="J628" s="15">
        <v>14.94</v>
      </c>
      <c r="K628" s="40">
        <v>0</v>
      </c>
    </row>
    <row r="629" spans="1:11" x14ac:dyDescent="0.25">
      <c r="A629" s="1">
        <v>1059116</v>
      </c>
      <c r="B629" s="1" t="s">
        <v>637</v>
      </c>
      <c r="D629" s="2">
        <v>0</v>
      </c>
      <c r="E629" s="2" t="s">
        <v>0</v>
      </c>
      <c r="F629" s="2" t="s">
        <v>561</v>
      </c>
      <c r="G629" s="1" t="s">
        <v>1968</v>
      </c>
      <c r="H629" s="2">
        <v>1</v>
      </c>
      <c r="I629" s="2">
        <v>7</v>
      </c>
      <c r="J629" s="15">
        <v>753.07</v>
      </c>
      <c r="K629" s="40">
        <v>0</v>
      </c>
    </row>
    <row r="630" spans="1:11" x14ac:dyDescent="0.25">
      <c r="A630" s="1">
        <v>1011736</v>
      </c>
      <c r="B630" s="1" t="s">
        <v>641</v>
      </c>
      <c r="D630" s="2">
        <v>0</v>
      </c>
      <c r="E630" s="2" t="s">
        <v>56</v>
      </c>
      <c r="F630" s="2" t="s">
        <v>41</v>
      </c>
      <c r="G630" s="1" t="s">
        <v>1968</v>
      </c>
      <c r="H630" s="2">
        <v>1</v>
      </c>
      <c r="I630" s="2">
        <v>7</v>
      </c>
      <c r="J630" s="15">
        <v>2.41</v>
      </c>
      <c r="K630" s="40">
        <v>0</v>
      </c>
    </row>
    <row r="631" spans="1:11" x14ac:dyDescent="0.25">
      <c r="A631" s="1">
        <v>2367440</v>
      </c>
      <c r="B631" s="1" t="s">
        <v>736</v>
      </c>
      <c r="D631" s="2">
        <v>0</v>
      </c>
      <c r="E631" s="2" t="s">
        <v>56</v>
      </c>
      <c r="F631" s="2" t="s">
        <v>41</v>
      </c>
      <c r="G631" s="1" t="s">
        <v>1968</v>
      </c>
      <c r="H631" s="2">
        <v>1</v>
      </c>
      <c r="I631" s="2">
        <v>7</v>
      </c>
      <c r="J631" s="15">
        <v>6.38</v>
      </c>
      <c r="K631" s="40">
        <v>0</v>
      </c>
    </row>
    <row r="632" spans="1:11" x14ac:dyDescent="0.25">
      <c r="A632" s="1">
        <v>2373894</v>
      </c>
      <c r="B632" s="1" t="s">
        <v>638</v>
      </c>
      <c r="D632" s="2">
        <v>0</v>
      </c>
      <c r="E632" s="2" t="s">
        <v>0</v>
      </c>
      <c r="F632" s="2" t="s">
        <v>41</v>
      </c>
      <c r="G632" s="1" t="s">
        <v>1968</v>
      </c>
      <c r="H632" s="2">
        <v>1</v>
      </c>
      <c r="I632" s="2">
        <v>7</v>
      </c>
      <c r="J632" s="15">
        <v>9.36</v>
      </c>
      <c r="K632" s="40">
        <v>0</v>
      </c>
    </row>
    <row r="633" spans="1:11" x14ac:dyDescent="0.25">
      <c r="A633" s="1">
        <v>2373895</v>
      </c>
      <c r="B633" s="1" t="s">
        <v>639</v>
      </c>
      <c r="D633" s="2">
        <v>0</v>
      </c>
      <c r="E633" s="2" t="s">
        <v>0</v>
      </c>
      <c r="F633" s="2" t="s">
        <v>41</v>
      </c>
      <c r="G633" s="1" t="s">
        <v>1968</v>
      </c>
      <c r="H633" s="2">
        <v>1</v>
      </c>
      <c r="I633" s="2">
        <v>7</v>
      </c>
      <c r="J633" s="15">
        <v>8.5</v>
      </c>
      <c r="K633" s="40">
        <v>0</v>
      </c>
    </row>
    <row r="634" spans="1:11" x14ac:dyDescent="0.25">
      <c r="A634" s="1">
        <v>2373893</v>
      </c>
      <c r="B634" s="1" t="s">
        <v>640</v>
      </c>
      <c r="D634" s="2">
        <v>0</v>
      </c>
      <c r="E634" s="2" t="s">
        <v>0</v>
      </c>
      <c r="F634" s="2" t="s">
        <v>561</v>
      </c>
      <c r="G634" s="1" t="s">
        <v>1968</v>
      </c>
      <c r="H634" s="2">
        <v>1</v>
      </c>
      <c r="I634" s="2">
        <v>7</v>
      </c>
      <c r="J634" s="15">
        <v>8.9499999999999993</v>
      </c>
      <c r="K634" s="40">
        <v>0</v>
      </c>
    </row>
    <row r="635" spans="1:11" x14ac:dyDescent="0.25">
      <c r="A635" s="1">
        <v>1089529</v>
      </c>
      <c r="B635" s="1" t="s">
        <v>642</v>
      </c>
      <c r="D635" s="2">
        <v>0</v>
      </c>
      <c r="E635" s="2" t="s">
        <v>0</v>
      </c>
      <c r="F635" s="2" t="s">
        <v>42</v>
      </c>
      <c r="G635" s="1" t="s">
        <v>1968</v>
      </c>
      <c r="H635" s="2">
        <v>1</v>
      </c>
      <c r="I635" s="2">
        <v>7</v>
      </c>
      <c r="J635" s="15">
        <v>122.18</v>
      </c>
      <c r="K635" s="40">
        <v>0</v>
      </c>
    </row>
    <row r="636" spans="1:11" x14ac:dyDescent="0.25">
      <c r="A636" s="1">
        <v>2370838</v>
      </c>
      <c r="B636" s="1" t="s">
        <v>643</v>
      </c>
      <c r="D636" s="2">
        <v>0</v>
      </c>
      <c r="E636" s="2" t="s">
        <v>131</v>
      </c>
      <c r="F636" s="2" t="s">
        <v>41</v>
      </c>
      <c r="G636" s="1" t="s">
        <v>1968</v>
      </c>
      <c r="H636" s="2">
        <v>1</v>
      </c>
      <c r="I636" s="2">
        <v>7</v>
      </c>
      <c r="J636" s="15">
        <v>6.64</v>
      </c>
      <c r="K636" s="40">
        <v>0</v>
      </c>
    </row>
    <row r="637" spans="1:11" x14ac:dyDescent="0.25">
      <c r="A637" s="1">
        <v>2378248</v>
      </c>
      <c r="B637" s="1" t="s">
        <v>644</v>
      </c>
      <c r="D637" s="2">
        <v>0</v>
      </c>
      <c r="E637" s="2" t="s">
        <v>0</v>
      </c>
      <c r="F637" s="2" t="s">
        <v>40</v>
      </c>
      <c r="G637" s="1" t="s">
        <v>1968</v>
      </c>
      <c r="H637" s="2">
        <v>1</v>
      </c>
      <c r="I637" s="2">
        <v>7</v>
      </c>
      <c r="J637" s="15">
        <v>14.24</v>
      </c>
      <c r="K637" s="40">
        <v>0</v>
      </c>
    </row>
    <row r="638" spans="1:11" x14ac:dyDescent="0.25">
      <c r="A638" s="1">
        <v>2949450</v>
      </c>
      <c r="B638" s="1" t="s">
        <v>645</v>
      </c>
      <c r="D638" s="2">
        <v>0</v>
      </c>
      <c r="E638" s="2" t="s">
        <v>0</v>
      </c>
      <c r="F638" s="2" t="s">
        <v>40</v>
      </c>
      <c r="G638" s="1" t="s">
        <v>1968</v>
      </c>
      <c r="H638" s="2">
        <v>1</v>
      </c>
      <c r="I638" s="2">
        <v>7</v>
      </c>
      <c r="J638" s="15">
        <v>43.29</v>
      </c>
      <c r="K638" s="40">
        <v>0</v>
      </c>
    </row>
    <row r="639" spans="1:11" x14ac:dyDescent="0.25">
      <c r="A639" s="1">
        <v>1011598</v>
      </c>
      <c r="B639" s="1" t="s">
        <v>646</v>
      </c>
      <c r="D639" s="2">
        <v>0</v>
      </c>
      <c r="E639" s="2" t="s">
        <v>0</v>
      </c>
      <c r="F639" s="2" t="s">
        <v>42</v>
      </c>
      <c r="G639" s="1" t="s">
        <v>1968</v>
      </c>
      <c r="H639" s="2">
        <v>1</v>
      </c>
      <c r="I639" s="2">
        <v>7</v>
      </c>
      <c r="J639" s="15">
        <v>1.29</v>
      </c>
      <c r="K639" s="40">
        <v>0</v>
      </c>
    </row>
    <row r="640" spans="1:11" x14ac:dyDescent="0.25">
      <c r="A640" s="1">
        <v>1011677</v>
      </c>
      <c r="B640" s="1" t="s">
        <v>647</v>
      </c>
      <c r="D640" s="2">
        <v>0</v>
      </c>
      <c r="E640" s="2" t="s">
        <v>0</v>
      </c>
      <c r="F640" s="2" t="s">
        <v>42</v>
      </c>
      <c r="G640" s="1" t="s">
        <v>1968</v>
      </c>
      <c r="H640" s="2">
        <v>1</v>
      </c>
      <c r="I640" s="2">
        <v>7</v>
      </c>
      <c r="J640" s="15">
        <v>3.47</v>
      </c>
      <c r="K640" s="40">
        <v>0</v>
      </c>
    </row>
    <row r="641" spans="1:11" x14ac:dyDescent="0.25">
      <c r="A641" s="1">
        <v>1011735</v>
      </c>
      <c r="B641" s="1" t="s">
        <v>648</v>
      </c>
      <c r="D641" s="2">
        <v>0</v>
      </c>
      <c r="E641" s="2" t="s">
        <v>56</v>
      </c>
      <c r="F641" s="2" t="s">
        <v>41</v>
      </c>
      <c r="G641" s="1" t="s">
        <v>1968</v>
      </c>
      <c r="H641" s="2">
        <v>1</v>
      </c>
      <c r="I641" s="2">
        <v>7</v>
      </c>
      <c r="J641" s="15">
        <v>1.94</v>
      </c>
      <c r="K641" s="40">
        <v>0</v>
      </c>
    </row>
    <row r="642" spans="1:11" x14ac:dyDescent="0.25">
      <c r="A642" s="1">
        <v>1016257</v>
      </c>
      <c r="B642" s="1" t="s">
        <v>649</v>
      </c>
      <c r="D642" s="2">
        <v>0</v>
      </c>
      <c r="E642" s="2" t="s">
        <v>0</v>
      </c>
      <c r="F642" s="2" t="s">
        <v>43</v>
      </c>
      <c r="G642" s="1" t="s">
        <v>1968</v>
      </c>
      <c r="H642" s="2">
        <v>1</v>
      </c>
      <c r="I642" s="2">
        <v>7</v>
      </c>
      <c r="J642" s="15">
        <v>5.17</v>
      </c>
      <c r="K642" s="40">
        <v>0</v>
      </c>
    </row>
    <row r="643" spans="1:11" x14ac:dyDescent="0.25">
      <c r="A643" s="1">
        <v>1016803</v>
      </c>
      <c r="B643" s="1" t="s">
        <v>650</v>
      </c>
      <c r="D643" s="2">
        <v>0</v>
      </c>
      <c r="E643" s="2" t="s">
        <v>0</v>
      </c>
      <c r="F643" s="2" t="s">
        <v>42</v>
      </c>
      <c r="G643" s="1" t="s">
        <v>1968</v>
      </c>
      <c r="H643" s="2">
        <v>1</v>
      </c>
      <c r="I643" s="2">
        <v>7</v>
      </c>
      <c r="J643" s="15">
        <v>25.56</v>
      </c>
      <c r="K643" s="40">
        <v>0</v>
      </c>
    </row>
    <row r="644" spans="1:11" x14ac:dyDescent="0.25">
      <c r="A644" s="1">
        <v>1058658</v>
      </c>
      <c r="B644" s="1" t="s">
        <v>651</v>
      </c>
      <c r="D644" s="2">
        <v>0</v>
      </c>
      <c r="E644" s="2" t="s">
        <v>0</v>
      </c>
      <c r="F644" s="2" t="s">
        <v>42</v>
      </c>
      <c r="G644" s="1" t="s">
        <v>1968</v>
      </c>
      <c r="H644" s="2">
        <v>1</v>
      </c>
      <c r="I644" s="2">
        <v>7</v>
      </c>
      <c r="J644" s="15">
        <v>322.08</v>
      </c>
      <c r="K644" s="40">
        <v>0</v>
      </c>
    </row>
    <row r="645" spans="1:11" x14ac:dyDescent="0.25">
      <c r="A645" s="1">
        <v>1239008</v>
      </c>
      <c r="B645" s="1" t="s">
        <v>652</v>
      </c>
      <c r="D645" s="2">
        <v>0</v>
      </c>
      <c r="E645" s="2" t="s">
        <v>131</v>
      </c>
      <c r="F645" s="2" t="s">
        <v>42</v>
      </c>
      <c r="G645" s="1" t="s">
        <v>786</v>
      </c>
      <c r="H645" s="2">
        <v>1</v>
      </c>
      <c r="I645" s="2">
        <v>7</v>
      </c>
      <c r="J645" s="15">
        <v>40.4</v>
      </c>
      <c r="K645" s="40">
        <v>0</v>
      </c>
    </row>
    <row r="646" spans="1:11" x14ac:dyDescent="0.25">
      <c r="A646" s="1">
        <v>1496522</v>
      </c>
      <c r="B646" s="1" t="s">
        <v>653</v>
      </c>
      <c r="D646" s="2">
        <v>0</v>
      </c>
      <c r="E646" s="2" t="s">
        <v>131</v>
      </c>
      <c r="F646" s="2" t="s">
        <v>43</v>
      </c>
      <c r="G646" s="1" t="s">
        <v>1968</v>
      </c>
      <c r="H646" s="2">
        <v>1</v>
      </c>
      <c r="I646" s="2">
        <v>7</v>
      </c>
      <c r="J646" s="15">
        <v>19.96</v>
      </c>
      <c r="K646" s="40">
        <v>0</v>
      </c>
    </row>
    <row r="647" spans="1:11" x14ac:dyDescent="0.25">
      <c r="A647" s="1">
        <v>1824292</v>
      </c>
      <c r="B647" s="1" t="s">
        <v>654</v>
      </c>
      <c r="D647" s="2">
        <v>0</v>
      </c>
      <c r="E647" s="2" t="s">
        <v>0</v>
      </c>
      <c r="F647" s="2" t="s">
        <v>42</v>
      </c>
      <c r="G647" s="1" t="s">
        <v>1968</v>
      </c>
      <c r="H647" s="2">
        <v>1</v>
      </c>
      <c r="I647" s="2">
        <v>7</v>
      </c>
      <c r="J647" s="15">
        <v>18.309999999999999</v>
      </c>
      <c r="K647" s="40">
        <v>0</v>
      </c>
    </row>
    <row r="648" spans="1:11" x14ac:dyDescent="0.25">
      <c r="A648" s="1">
        <v>1824294</v>
      </c>
      <c r="B648" s="1" t="s">
        <v>655</v>
      </c>
      <c r="D648" s="2">
        <v>0</v>
      </c>
      <c r="E648" s="2" t="s">
        <v>0</v>
      </c>
      <c r="F648" s="2" t="s">
        <v>42</v>
      </c>
      <c r="G648" s="1" t="s">
        <v>1968</v>
      </c>
      <c r="H648" s="2">
        <v>1</v>
      </c>
      <c r="I648" s="2">
        <v>7</v>
      </c>
      <c r="J648" s="15">
        <v>15.01</v>
      </c>
      <c r="K648" s="40">
        <v>0</v>
      </c>
    </row>
    <row r="649" spans="1:11" x14ac:dyDescent="0.25">
      <c r="A649" s="1">
        <v>1874126</v>
      </c>
      <c r="B649" s="1" t="s">
        <v>656</v>
      </c>
      <c r="D649" s="2">
        <v>0</v>
      </c>
      <c r="E649" s="2" t="s">
        <v>0</v>
      </c>
      <c r="F649" s="2" t="s">
        <v>42</v>
      </c>
      <c r="G649" s="1" t="s">
        <v>1968</v>
      </c>
      <c r="H649" s="2">
        <v>1</v>
      </c>
      <c r="I649" s="2">
        <v>7</v>
      </c>
      <c r="J649" s="15">
        <v>17.829999999999998</v>
      </c>
      <c r="K649" s="40">
        <v>0</v>
      </c>
    </row>
    <row r="650" spans="1:11" x14ac:dyDescent="0.25">
      <c r="A650" s="1">
        <v>2129282</v>
      </c>
      <c r="B650" s="1" t="s">
        <v>657</v>
      </c>
      <c r="D650" s="2">
        <v>0</v>
      </c>
      <c r="E650" s="2" t="s">
        <v>0</v>
      </c>
      <c r="F650" s="2" t="s">
        <v>43</v>
      </c>
      <c r="G650" s="1" t="s">
        <v>1968</v>
      </c>
      <c r="H650" s="2">
        <v>1</v>
      </c>
      <c r="I650" s="2">
        <v>7</v>
      </c>
      <c r="J650" s="15">
        <v>422.42</v>
      </c>
      <c r="K650" s="40">
        <v>0</v>
      </c>
    </row>
    <row r="651" spans="1:11" x14ac:dyDescent="0.25">
      <c r="A651" s="1">
        <v>2210554</v>
      </c>
      <c r="B651" s="1" t="s">
        <v>658</v>
      </c>
      <c r="D651" s="2">
        <v>0</v>
      </c>
      <c r="E651" s="2" t="s">
        <v>131</v>
      </c>
      <c r="F651" s="2" t="s">
        <v>40</v>
      </c>
      <c r="G651" s="1" t="s">
        <v>1968</v>
      </c>
      <c r="H651" s="2">
        <v>1</v>
      </c>
      <c r="I651" s="2">
        <v>7</v>
      </c>
      <c r="J651" s="15">
        <v>13.92</v>
      </c>
      <c r="K651" s="40">
        <v>0</v>
      </c>
    </row>
    <row r="652" spans="1:11" x14ac:dyDescent="0.25">
      <c r="A652" s="1">
        <v>2214266</v>
      </c>
      <c r="B652" s="1" t="s">
        <v>659</v>
      </c>
      <c r="D652" s="2">
        <v>0</v>
      </c>
      <c r="E652" s="2" t="s">
        <v>0</v>
      </c>
      <c r="F652" s="2" t="s">
        <v>40</v>
      </c>
      <c r="G652" s="1" t="s">
        <v>1968</v>
      </c>
      <c r="H652" s="2">
        <v>1</v>
      </c>
      <c r="I652" s="2">
        <v>7</v>
      </c>
      <c r="J652" s="15">
        <v>3.49</v>
      </c>
      <c r="K652" s="40">
        <v>0</v>
      </c>
    </row>
    <row r="653" spans="1:11" x14ac:dyDescent="0.25">
      <c r="A653" s="1">
        <v>2261457</v>
      </c>
      <c r="B653" s="1" t="s">
        <v>660</v>
      </c>
      <c r="D653" s="2">
        <v>0</v>
      </c>
      <c r="E653" s="2" t="s">
        <v>56</v>
      </c>
      <c r="F653" s="2" t="s">
        <v>43</v>
      </c>
      <c r="G653" s="1" t="s">
        <v>1968</v>
      </c>
      <c r="H653" s="2">
        <v>1</v>
      </c>
      <c r="I653" s="2">
        <v>7</v>
      </c>
      <c r="J653" s="15">
        <v>422.6</v>
      </c>
      <c r="K653" s="40">
        <v>0</v>
      </c>
    </row>
    <row r="654" spans="1:11" x14ac:dyDescent="0.25">
      <c r="A654" s="1">
        <v>2265525</v>
      </c>
      <c r="B654" s="1" t="s">
        <v>661</v>
      </c>
      <c r="D654" s="2">
        <v>0</v>
      </c>
      <c r="E654" s="2" t="s">
        <v>0</v>
      </c>
      <c r="F654" s="2" t="s">
        <v>42</v>
      </c>
      <c r="G654" s="1" t="s">
        <v>1968</v>
      </c>
      <c r="H654" s="2">
        <v>1</v>
      </c>
      <c r="I654" s="2">
        <v>7</v>
      </c>
      <c r="J654" s="15">
        <v>3.57</v>
      </c>
      <c r="K654" s="40">
        <v>0</v>
      </c>
    </row>
    <row r="655" spans="1:11" x14ac:dyDescent="0.25">
      <c r="A655" s="1">
        <v>2320317</v>
      </c>
      <c r="B655" s="1" t="s">
        <v>662</v>
      </c>
      <c r="D655" s="2">
        <v>0</v>
      </c>
      <c r="E655" s="2" t="s">
        <v>0</v>
      </c>
      <c r="F655" s="2" t="s">
        <v>41</v>
      </c>
      <c r="G655" s="1" t="s">
        <v>1968</v>
      </c>
      <c r="H655" s="2">
        <v>1</v>
      </c>
      <c r="I655" s="2">
        <v>7</v>
      </c>
      <c r="J655" s="15">
        <v>8.57</v>
      </c>
      <c r="K655" s="40">
        <v>0</v>
      </c>
    </row>
    <row r="656" spans="1:11" x14ac:dyDescent="0.25">
      <c r="A656" s="1">
        <v>2326654</v>
      </c>
      <c r="B656" s="1" t="s">
        <v>663</v>
      </c>
      <c r="D656" s="2">
        <v>0</v>
      </c>
      <c r="E656" s="2" t="s">
        <v>0</v>
      </c>
      <c r="F656" s="2" t="s">
        <v>41</v>
      </c>
      <c r="G656" s="1" t="s">
        <v>1968</v>
      </c>
      <c r="H656" s="2">
        <v>1</v>
      </c>
      <c r="I656" s="2">
        <v>7</v>
      </c>
      <c r="J656" s="15">
        <v>7.22</v>
      </c>
      <c r="K656" s="40">
        <v>0</v>
      </c>
    </row>
    <row r="657" spans="1:11" x14ac:dyDescent="0.25">
      <c r="A657" s="1">
        <v>2369465</v>
      </c>
      <c r="B657" s="1" t="s">
        <v>664</v>
      </c>
      <c r="D657" s="2">
        <v>0</v>
      </c>
      <c r="E657" s="2" t="s">
        <v>54</v>
      </c>
      <c r="F657" s="2" t="s">
        <v>43</v>
      </c>
      <c r="G657" s="1" t="s">
        <v>1968</v>
      </c>
      <c r="H657" s="2">
        <v>1</v>
      </c>
      <c r="I657" s="2">
        <v>7</v>
      </c>
      <c r="J657" s="15">
        <v>11.27</v>
      </c>
      <c r="K657" s="40">
        <v>0</v>
      </c>
    </row>
    <row r="658" spans="1:11" x14ac:dyDescent="0.25">
      <c r="A658" s="1">
        <v>2379398</v>
      </c>
      <c r="B658" s="1" t="s">
        <v>665</v>
      </c>
      <c r="D658" s="2">
        <v>0</v>
      </c>
      <c r="E658" s="2" t="s">
        <v>0</v>
      </c>
      <c r="F658" s="2" t="s">
        <v>41</v>
      </c>
      <c r="G658" s="1" t="s">
        <v>1968</v>
      </c>
      <c r="H658" s="2">
        <v>1</v>
      </c>
      <c r="I658" s="2">
        <v>7</v>
      </c>
      <c r="J658" s="15">
        <v>6.99</v>
      </c>
      <c r="K658" s="40">
        <v>0</v>
      </c>
    </row>
    <row r="659" spans="1:11" x14ac:dyDescent="0.25">
      <c r="A659" s="1">
        <v>2982351</v>
      </c>
      <c r="B659" s="1" t="s">
        <v>666</v>
      </c>
      <c r="D659" s="2">
        <v>0</v>
      </c>
      <c r="E659" s="2" t="s">
        <v>0</v>
      </c>
      <c r="F659" s="2" t="s">
        <v>42</v>
      </c>
      <c r="G659" s="1" t="s">
        <v>1968</v>
      </c>
      <c r="H659" s="2">
        <v>1</v>
      </c>
      <c r="I659" s="2">
        <v>7</v>
      </c>
      <c r="J659" s="15">
        <v>20.73</v>
      </c>
      <c r="K659" s="40">
        <v>0</v>
      </c>
    </row>
    <row r="660" spans="1:11" x14ac:dyDescent="0.25">
      <c r="A660" s="1">
        <v>2388590</v>
      </c>
      <c r="B660" s="1" t="s">
        <v>667</v>
      </c>
      <c r="D660" s="2">
        <v>0</v>
      </c>
      <c r="E660" s="2" t="s">
        <v>0</v>
      </c>
      <c r="F660" s="2" t="s">
        <v>561</v>
      </c>
      <c r="G660" s="1" t="s">
        <v>1968</v>
      </c>
      <c r="H660" s="2">
        <v>1</v>
      </c>
      <c r="I660" s="2">
        <v>7</v>
      </c>
      <c r="J660" s="15">
        <v>8.49</v>
      </c>
      <c r="K660" s="40">
        <v>0</v>
      </c>
    </row>
    <row r="661" spans="1:11" x14ac:dyDescent="0.25">
      <c r="A661" s="1">
        <v>1017025</v>
      </c>
      <c r="B661" s="1" t="s">
        <v>668</v>
      </c>
      <c r="D661" s="2">
        <v>0</v>
      </c>
      <c r="E661" s="2" t="s">
        <v>0</v>
      </c>
      <c r="F661" s="2" t="s">
        <v>561</v>
      </c>
      <c r="G661" s="1" t="s">
        <v>1968</v>
      </c>
      <c r="H661" s="2">
        <v>1</v>
      </c>
      <c r="I661" s="2">
        <v>7</v>
      </c>
      <c r="J661" s="15">
        <v>1.56</v>
      </c>
      <c r="K661" s="40">
        <v>0</v>
      </c>
    </row>
    <row r="662" spans="1:11" x14ac:dyDescent="0.25">
      <c r="A662" s="1">
        <v>1027830</v>
      </c>
      <c r="B662" s="1" t="s">
        <v>669</v>
      </c>
      <c r="D662" s="2">
        <v>0</v>
      </c>
      <c r="E662" s="2" t="s">
        <v>0</v>
      </c>
      <c r="F662" s="2" t="s">
        <v>561</v>
      </c>
      <c r="G662" s="1" t="s">
        <v>1968</v>
      </c>
      <c r="H662" s="2">
        <v>1</v>
      </c>
      <c r="I662" s="2">
        <v>7</v>
      </c>
      <c r="J662" s="15">
        <v>3.51</v>
      </c>
      <c r="K662" s="40">
        <v>0</v>
      </c>
    </row>
    <row r="663" spans="1:11" x14ac:dyDescent="0.25">
      <c r="A663" s="1">
        <v>1162550</v>
      </c>
      <c r="B663" s="1" t="s">
        <v>670</v>
      </c>
      <c r="D663" s="2">
        <v>0</v>
      </c>
      <c r="E663" s="2" t="s">
        <v>0</v>
      </c>
      <c r="F663" s="2" t="s">
        <v>40</v>
      </c>
      <c r="G663" s="1" t="s">
        <v>786</v>
      </c>
      <c r="H663" s="2">
        <v>1</v>
      </c>
      <c r="I663" s="2">
        <v>7</v>
      </c>
      <c r="K663" s="40">
        <v>0</v>
      </c>
    </row>
    <row r="664" spans="1:11" x14ac:dyDescent="0.25">
      <c r="A664" s="1">
        <v>1233612</v>
      </c>
      <c r="B664" s="1" t="s">
        <v>671</v>
      </c>
      <c r="D664" s="2">
        <v>0</v>
      </c>
      <c r="E664" s="2" t="s">
        <v>0</v>
      </c>
      <c r="F664" s="2" t="s">
        <v>561</v>
      </c>
      <c r="G664" s="1" t="s">
        <v>1968</v>
      </c>
      <c r="H664" s="2">
        <v>1</v>
      </c>
      <c r="I664" s="2">
        <v>7</v>
      </c>
      <c r="J664" s="15">
        <v>43.14</v>
      </c>
      <c r="K664" s="40">
        <v>0</v>
      </c>
    </row>
    <row r="665" spans="1:11" x14ac:dyDescent="0.25">
      <c r="A665" s="1">
        <v>1461886</v>
      </c>
      <c r="B665" s="1" t="s">
        <v>672</v>
      </c>
      <c r="D665" s="2">
        <v>0</v>
      </c>
      <c r="E665" s="2" t="s">
        <v>0</v>
      </c>
      <c r="F665" s="2" t="s">
        <v>561</v>
      </c>
      <c r="G665" s="1" t="s">
        <v>1968</v>
      </c>
      <c r="H665" s="2">
        <v>1</v>
      </c>
      <c r="I665" s="2">
        <v>7</v>
      </c>
      <c r="J665" s="15">
        <v>6.38</v>
      </c>
      <c r="K665" s="40">
        <v>0</v>
      </c>
    </row>
    <row r="666" spans="1:11" x14ac:dyDescent="0.25">
      <c r="A666" s="1">
        <v>1653159</v>
      </c>
      <c r="B666" s="1" t="s">
        <v>673</v>
      </c>
      <c r="D666" s="2">
        <v>0</v>
      </c>
      <c r="E666" s="2" t="s">
        <v>0</v>
      </c>
      <c r="F666" s="2" t="s">
        <v>40</v>
      </c>
      <c r="G666" s="1" t="s">
        <v>786</v>
      </c>
      <c r="H666" s="2">
        <v>1</v>
      </c>
      <c r="I666" s="2">
        <v>7</v>
      </c>
      <c r="K666" s="40">
        <v>0</v>
      </c>
    </row>
    <row r="667" spans="1:11" x14ac:dyDescent="0.25">
      <c r="A667" s="1">
        <v>2122051</v>
      </c>
      <c r="B667" s="1" t="s">
        <v>674</v>
      </c>
      <c r="D667" s="2">
        <v>0</v>
      </c>
      <c r="E667" s="2" t="s">
        <v>0</v>
      </c>
      <c r="F667" s="2" t="s">
        <v>42</v>
      </c>
      <c r="G667" s="1" t="s">
        <v>1968</v>
      </c>
      <c r="H667" s="2">
        <v>1</v>
      </c>
      <c r="I667" s="2">
        <v>7</v>
      </c>
      <c r="J667" s="15">
        <v>14.86</v>
      </c>
      <c r="K667" s="40">
        <v>0</v>
      </c>
    </row>
    <row r="668" spans="1:11" x14ac:dyDescent="0.25">
      <c r="A668" s="1">
        <v>2206273</v>
      </c>
      <c r="B668" s="1" t="s">
        <v>675</v>
      </c>
      <c r="D668" s="2">
        <v>0</v>
      </c>
      <c r="E668" s="2" t="s">
        <v>0</v>
      </c>
      <c r="F668" s="2" t="s">
        <v>561</v>
      </c>
      <c r="G668" s="1" t="s">
        <v>1968</v>
      </c>
      <c r="H668" s="2">
        <v>1</v>
      </c>
      <c r="I668" s="2">
        <v>7</v>
      </c>
      <c r="J668" s="15">
        <v>3.27</v>
      </c>
      <c r="K668" s="40">
        <v>0</v>
      </c>
    </row>
    <row r="669" spans="1:11" x14ac:dyDescent="0.25">
      <c r="A669" s="1">
        <v>2252121</v>
      </c>
      <c r="B669" s="1" t="s">
        <v>676</v>
      </c>
      <c r="D669" s="2">
        <v>0</v>
      </c>
      <c r="E669" s="2" t="s">
        <v>0</v>
      </c>
      <c r="F669" s="2" t="s">
        <v>561</v>
      </c>
      <c r="G669" s="1" t="s">
        <v>1968</v>
      </c>
      <c r="H669" s="2">
        <v>1</v>
      </c>
      <c r="I669" s="2">
        <v>7</v>
      </c>
      <c r="J669" s="15">
        <v>4.49</v>
      </c>
      <c r="K669" s="40">
        <v>0</v>
      </c>
    </row>
    <row r="670" spans="1:11" x14ac:dyDescent="0.25">
      <c r="A670" s="1">
        <v>2247218</v>
      </c>
      <c r="B670" s="1" t="s">
        <v>677</v>
      </c>
      <c r="D670" s="2">
        <v>0</v>
      </c>
      <c r="E670" s="2" t="s">
        <v>0</v>
      </c>
      <c r="F670" s="2" t="s">
        <v>41</v>
      </c>
      <c r="G670" s="1" t="s">
        <v>1968</v>
      </c>
      <c r="H670" s="2">
        <v>1</v>
      </c>
      <c r="I670" s="2">
        <v>7</v>
      </c>
      <c r="J670" s="15">
        <v>46.48</v>
      </c>
      <c r="K670" s="40">
        <v>0</v>
      </c>
    </row>
    <row r="671" spans="1:11" x14ac:dyDescent="0.25">
      <c r="A671" s="1">
        <v>2390221</v>
      </c>
      <c r="B671" s="1" t="s">
        <v>678</v>
      </c>
      <c r="D671" s="2">
        <v>0</v>
      </c>
      <c r="E671" s="2" t="s">
        <v>56</v>
      </c>
      <c r="F671" s="2" t="s">
        <v>41</v>
      </c>
      <c r="G671" s="1" t="s">
        <v>786</v>
      </c>
      <c r="H671" s="2">
        <v>1</v>
      </c>
      <c r="I671" s="2">
        <v>7</v>
      </c>
      <c r="K671" s="40">
        <v>0</v>
      </c>
    </row>
    <row r="672" spans="1:11" x14ac:dyDescent="0.25">
      <c r="A672" s="1">
        <v>2390222</v>
      </c>
      <c r="B672" s="1" t="s">
        <v>679</v>
      </c>
      <c r="D672" s="2">
        <v>0</v>
      </c>
      <c r="E672" s="2" t="s">
        <v>0</v>
      </c>
      <c r="F672" s="2" t="s">
        <v>41</v>
      </c>
      <c r="G672" s="1" t="s">
        <v>786</v>
      </c>
      <c r="H672" s="2">
        <v>1</v>
      </c>
      <c r="I672" s="2">
        <v>7</v>
      </c>
      <c r="K672" s="40">
        <v>0</v>
      </c>
    </row>
    <row r="673" spans="1:11" x14ac:dyDescent="0.25">
      <c r="A673" s="1">
        <v>1011599</v>
      </c>
      <c r="B673" s="1" t="s">
        <v>216</v>
      </c>
      <c r="D673" s="2">
        <v>0</v>
      </c>
      <c r="E673" s="2" t="s">
        <v>56</v>
      </c>
      <c r="F673" s="2" t="s">
        <v>42</v>
      </c>
      <c r="G673" s="1" t="s">
        <v>1968</v>
      </c>
      <c r="H673" s="2">
        <v>1</v>
      </c>
      <c r="I673" s="2">
        <v>7</v>
      </c>
      <c r="J673" s="15">
        <v>50.32</v>
      </c>
      <c r="K673" s="40">
        <v>0</v>
      </c>
    </row>
    <row r="674" spans="1:11" x14ac:dyDescent="0.25">
      <c r="A674" s="1">
        <v>1981689</v>
      </c>
      <c r="B674" s="1" t="s">
        <v>680</v>
      </c>
      <c r="D674" s="2">
        <v>0</v>
      </c>
      <c r="E674" s="2" t="s">
        <v>0</v>
      </c>
      <c r="F674" s="2" t="s">
        <v>42</v>
      </c>
      <c r="G674" s="1" t="s">
        <v>1968</v>
      </c>
      <c r="H674" s="2">
        <v>1</v>
      </c>
      <c r="I674" s="2">
        <v>7</v>
      </c>
      <c r="J674" s="15">
        <v>30.18</v>
      </c>
      <c r="K674" s="40">
        <v>0</v>
      </c>
    </row>
    <row r="675" spans="1:11" x14ac:dyDescent="0.25">
      <c r="A675" s="1">
        <v>2381909</v>
      </c>
      <c r="B675" s="1" t="s">
        <v>681</v>
      </c>
      <c r="D675" s="2">
        <v>0</v>
      </c>
      <c r="E675" s="2" t="s">
        <v>0</v>
      </c>
      <c r="F675" s="2" t="s">
        <v>561</v>
      </c>
      <c r="G675" s="1" t="s">
        <v>1968</v>
      </c>
      <c r="H675" s="2">
        <v>1</v>
      </c>
      <c r="I675" s="2">
        <v>7</v>
      </c>
      <c r="J675" s="15">
        <v>173.81</v>
      </c>
      <c r="K675" s="40">
        <v>0</v>
      </c>
    </row>
    <row r="676" spans="1:11" x14ac:dyDescent="0.25">
      <c r="A676" s="1">
        <v>1900299</v>
      </c>
      <c r="B676" s="1" t="s">
        <v>682</v>
      </c>
      <c r="D676" s="2">
        <v>0</v>
      </c>
      <c r="E676" s="2" t="s">
        <v>0</v>
      </c>
      <c r="F676" s="2" t="s">
        <v>561</v>
      </c>
      <c r="G676" s="1" t="s">
        <v>1968</v>
      </c>
      <c r="H676" s="2">
        <v>1</v>
      </c>
      <c r="I676" s="2">
        <v>7</v>
      </c>
      <c r="J676" s="15">
        <v>2.42</v>
      </c>
      <c r="K676" s="40">
        <v>0</v>
      </c>
    </row>
    <row r="677" spans="1:11" x14ac:dyDescent="0.25">
      <c r="A677" s="1">
        <v>1027305</v>
      </c>
      <c r="B677" s="1" t="s">
        <v>683</v>
      </c>
      <c r="D677" s="2">
        <v>0</v>
      </c>
      <c r="E677" s="2" t="s">
        <v>131</v>
      </c>
      <c r="F677" s="2" t="s">
        <v>41</v>
      </c>
      <c r="G677" s="1" t="s">
        <v>1968</v>
      </c>
      <c r="H677" s="2">
        <v>1</v>
      </c>
      <c r="I677" s="2">
        <v>7</v>
      </c>
      <c r="J677" s="15">
        <v>45.78</v>
      </c>
      <c r="K677" s="40">
        <v>0</v>
      </c>
    </row>
    <row r="678" spans="1:11" x14ac:dyDescent="0.25">
      <c r="A678" s="1">
        <v>2392181</v>
      </c>
      <c r="B678" s="1" t="s">
        <v>684</v>
      </c>
      <c r="D678" s="2">
        <v>0</v>
      </c>
      <c r="E678" s="2" t="s">
        <v>0</v>
      </c>
      <c r="F678" s="2" t="s">
        <v>43</v>
      </c>
      <c r="G678" s="1" t="s">
        <v>1968</v>
      </c>
      <c r="H678" s="2">
        <v>1</v>
      </c>
      <c r="I678" s="2">
        <v>7</v>
      </c>
      <c r="J678" s="15">
        <v>7.16</v>
      </c>
      <c r="K678" s="40">
        <v>0</v>
      </c>
    </row>
    <row r="679" spans="1:11" x14ac:dyDescent="0.25">
      <c r="A679" s="1">
        <v>1233611</v>
      </c>
      <c r="B679" s="1" t="s">
        <v>685</v>
      </c>
      <c r="D679" s="2">
        <v>0</v>
      </c>
      <c r="E679" s="2" t="s">
        <v>0</v>
      </c>
      <c r="F679" s="2" t="s">
        <v>43</v>
      </c>
      <c r="G679" s="1" t="s">
        <v>1968</v>
      </c>
      <c r="H679" s="2">
        <v>1</v>
      </c>
      <c r="I679" s="2">
        <v>7</v>
      </c>
      <c r="J679" s="15">
        <v>0.85</v>
      </c>
      <c r="K679" s="40">
        <v>0</v>
      </c>
    </row>
    <row r="680" spans="1:11" x14ac:dyDescent="0.25">
      <c r="A680" s="1">
        <v>2383742</v>
      </c>
      <c r="B680" s="1" t="s">
        <v>686</v>
      </c>
      <c r="D680" s="2">
        <v>0</v>
      </c>
      <c r="E680" s="2" t="s">
        <v>0</v>
      </c>
      <c r="F680" s="2" t="s">
        <v>557</v>
      </c>
      <c r="G680" s="1" t="s">
        <v>1968</v>
      </c>
      <c r="H680" s="2">
        <v>1</v>
      </c>
      <c r="I680" s="2">
        <v>42</v>
      </c>
      <c r="J680" s="15">
        <v>1278.21</v>
      </c>
      <c r="K680" s="40">
        <v>0</v>
      </c>
    </row>
    <row r="681" spans="1:11" x14ac:dyDescent="0.25">
      <c r="A681" s="1">
        <v>2368994</v>
      </c>
      <c r="B681" s="1" t="s">
        <v>687</v>
      </c>
      <c r="D681" s="2">
        <v>0</v>
      </c>
      <c r="E681" s="2" t="s">
        <v>0</v>
      </c>
      <c r="F681" s="2" t="s">
        <v>557</v>
      </c>
      <c r="G681" s="1" t="s">
        <v>786</v>
      </c>
      <c r="H681" s="2">
        <v>1</v>
      </c>
      <c r="I681" s="2">
        <v>49</v>
      </c>
      <c r="K681" s="40">
        <v>0</v>
      </c>
    </row>
    <row r="682" spans="1:11" x14ac:dyDescent="0.25">
      <c r="A682" s="1">
        <v>2379407</v>
      </c>
      <c r="B682" s="1" t="s">
        <v>688</v>
      </c>
      <c r="D682" s="2">
        <v>0</v>
      </c>
      <c r="E682" s="2" t="s">
        <v>0</v>
      </c>
      <c r="F682" s="2" t="s">
        <v>561</v>
      </c>
      <c r="G682" s="1" t="s">
        <v>786</v>
      </c>
      <c r="H682" s="2">
        <v>1</v>
      </c>
      <c r="I682" s="2">
        <v>14</v>
      </c>
      <c r="K682" s="40">
        <v>0</v>
      </c>
    </row>
    <row r="683" spans="1:11" x14ac:dyDescent="0.25">
      <c r="A683" s="1">
        <v>1160640</v>
      </c>
      <c r="B683" s="1" t="s">
        <v>689</v>
      </c>
      <c r="D683" s="2">
        <v>0</v>
      </c>
      <c r="E683" s="2" t="s">
        <v>0</v>
      </c>
      <c r="F683" s="2" t="s">
        <v>42</v>
      </c>
      <c r="G683" s="1" t="s">
        <v>1968</v>
      </c>
      <c r="H683" s="2">
        <v>1</v>
      </c>
      <c r="I683" s="2">
        <v>42</v>
      </c>
      <c r="J683" s="15">
        <v>439.42</v>
      </c>
      <c r="K683" s="40">
        <v>0</v>
      </c>
    </row>
    <row r="684" spans="1:11" x14ac:dyDescent="0.25">
      <c r="A684" s="1">
        <v>1160641</v>
      </c>
      <c r="B684" s="1" t="s">
        <v>690</v>
      </c>
      <c r="D684" s="2">
        <v>0</v>
      </c>
      <c r="E684" s="2" t="s">
        <v>0</v>
      </c>
      <c r="F684" s="2" t="s">
        <v>42</v>
      </c>
      <c r="G684" s="1" t="s">
        <v>1968</v>
      </c>
      <c r="H684" s="2">
        <v>1</v>
      </c>
      <c r="I684" s="2">
        <v>42</v>
      </c>
      <c r="J684" s="15">
        <v>79.66</v>
      </c>
      <c r="K684" s="40">
        <v>0</v>
      </c>
    </row>
    <row r="685" spans="1:11" x14ac:dyDescent="0.25">
      <c r="A685" s="1">
        <v>1160642</v>
      </c>
      <c r="B685" s="1" t="s">
        <v>691</v>
      </c>
      <c r="D685" s="2">
        <v>0</v>
      </c>
      <c r="E685" s="2" t="s">
        <v>0</v>
      </c>
      <c r="F685" s="2" t="s">
        <v>42</v>
      </c>
      <c r="G685" s="1" t="s">
        <v>1968</v>
      </c>
      <c r="H685" s="2">
        <v>1</v>
      </c>
      <c r="I685" s="2">
        <v>42</v>
      </c>
      <c r="J685" s="15">
        <v>79.66</v>
      </c>
      <c r="K685" s="40">
        <v>0</v>
      </c>
    </row>
    <row r="686" spans="1:11" x14ac:dyDescent="0.25">
      <c r="A686" s="1">
        <v>2383514</v>
      </c>
      <c r="B686" s="1" t="s">
        <v>692</v>
      </c>
      <c r="D686" s="2">
        <v>0</v>
      </c>
      <c r="E686" s="2" t="s">
        <v>0</v>
      </c>
      <c r="F686" s="2" t="s">
        <v>42</v>
      </c>
      <c r="G686" s="1" t="s">
        <v>786</v>
      </c>
      <c r="H686" s="2">
        <v>1</v>
      </c>
      <c r="I686" s="2">
        <v>42</v>
      </c>
      <c r="K686" s="40">
        <v>0</v>
      </c>
    </row>
    <row r="687" spans="1:11" x14ac:dyDescent="0.25">
      <c r="A687" s="1">
        <v>2244404</v>
      </c>
      <c r="B687" s="1" t="s">
        <v>693</v>
      </c>
      <c r="D687" s="2">
        <v>0</v>
      </c>
      <c r="E687" s="2" t="s">
        <v>0</v>
      </c>
      <c r="F687" s="2" t="s">
        <v>41</v>
      </c>
      <c r="G687" s="1" t="s">
        <v>786</v>
      </c>
      <c r="H687" s="2">
        <v>1</v>
      </c>
      <c r="I687" s="2">
        <v>20</v>
      </c>
      <c r="K687" s="40">
        <v>0</v>
      </c>
    </row>
    <row r="688" spans="1:11" x14ac:dyDescent="0.25">
      <c r="A688" s="1">
        <v>2253314</v>
      </c>
      <c r="B688" s="1" t="s">
        <v>694</v>
      </c>
      <c r="D688" s="2">
        <v>0</v>
      </c>
      <c r="E688" s="2" t="s">
        <v>0</v>
      </c>
      <c r="F688" s="2" t="s">
        <v>561</v>
      </c>
      <c r="G688" s="1" t="s">
        <v>1968</v>
      </c>
      <c r="H688" s="2">
        <v>1</v>
      </c>
      <c r="I688" s="2">
        <v>28</v>
      </c>
      <c r="J688" s="15">
        <v>152.96</v>
      </c>
      <c r="K688" s="40">
        <v>0</v>
      </c>
    </row>
    <row r="689" spans="1:11" x14ac:dyDescent="0.25">
      <c r="A689" s="1">
        <v>2243615</v>
      </c>
      <c r="B689" s="1" t="s">
        <v>307</v>
      </c>
      <c r="D689" s="2">
        <v>0</v>
      </c>
      <c r="E689" s="2" t="s">
        <v>0</v>
      </c>
      <c r="F689" s="2" t="s">
        <v>40</v>
      </c>
      <c r="G689" s="1" t="s">
        <v>1968</v>
      </c>
      <c r="H689" s="2">
        <v>1</v>
      </c>
      <c r="I689" s="2">
        <v>7</v>
      </c>
      <c r="J689" s="15">
        <v>3.43</v>
      </c>
      <c r="K689" s="40">
        <v>0</v>
      </c>
    </row>
    <row r="690" spans="1:11" x14ac:dyDescent="0.25">
      <c r="A690" s="1">
        <v>2244301</v>
      </c>
      <c r="B690" s="1" t="s">
        <v>695</v>
      </c>
      <c r="D690" s="2">
        <v>0</v>
      </c>
      <c r="E690" s="2" t="s">
        <v>0</v>
      </c>
      <c r="F690" s="2" t="s">
        <v>41</v>
      </c>
      <c r="G690" s="1" t="s">
        <v>786</v>
      </c>
      <c r="H690" s="2">
        <v>1</v>
      </c>
      <c r="I690" s="2">
        <v>20</v>
      </c>
      <c r="K690" s="40">
        <v>0</v>
      </c>
    </row>
    <row r="691" spans="1:11" x14ac:dyDescent="0.25">
      <c r="A691" s="1">
        <v>2244351</v>
      </c>
      <c r="B691" s="1" t="s">
        <v>696</v>
      </c>
      <c r="D691" s="2">
        <v>0</v>
      </c>
      <c r="E691" s="2" t="s">
        <v>0</v>
      </c>
      <c r="F691" s="2" t="s">
        <v>41</v>
      </c>
      <c r="G691" s="1" t="s">
        <v>2056</v>
      </c>
      <c r="H691" s="2">
        <v>1</v>
      </c>
      <c r="I691" s="2">
        <v>20</v>
      </c>
      <c r="J691" s="15">
        <v>750.48</v>
      </c>
      <c r="K691" s="40">
        <v>0</v>
      </c>
    </row>
    <row r="692" spans="1:11" x14ac:dyDescent="0.25">
      <c r="A692" s="1">
        <v>2244401</v>
      </c>
      <c r="B692" s="1" t="s">
        <v>697</v>
      </c>
      <c r="D692" s="2">
        <v>0</v>
      </c>
      <c r="E692" s="2" t="s">
        <v>0</v>
      </c>
      <c r="F692" s="2" t="s">
        <v>41</v>
      </c>
      <c r="G692" s="1" t="s">
        <v>2056</v>
      </c>
      <c r="H692" s="2">
        <v>1</v>
      </c>
      <c r="I692" s="2">
        <v>20</v>
      </c>
      <c r="J692" s="15">
        <v>915.84</v>
      </c>
      <c r="K692" s="40">
        <v>0</v>
      </c>
    </row>
    <row r="693" spans="1:11" x14ac:dyDescent="0.25">
      <c r="A693" s="1">
        <v>2244302</v>
      </c>
      <c r="B693" s="1" t="s">
        <v>698</v>
      </c>
      <c r="D693" s="2">
        <v>0</v>
      </c>
      <c r="E693" s="2" t="s">
        <v>0</v>
      </c>
      <c r="F693" s="2" t="s">
        <v>41</v>
      </c>
      <c r="G693" s="1" t="s">
        <v>2056</v>
      </c>
      <c r="H693" s="2">
        <v>1</v>
      </c>
      <c r="I693" s="2">
        <v>20</v>
      </c>
      <c r="J693" s="15">
        <v>513.04</v>
      </c>
      <c r="K693" s="40">
        <v>0</v>
      </c>
    </row>
    <row r="694" spans="1:11" x14ac:dyDescent="0.25">
      <c r="A694" s="1">
        <v>2244502</v>
      </c>
      <c r="B694" s="1" t="s">
        <v>699</v>
      </c>
      <c r="D694" s="2">
        <v>0</v>
      </c>
      <c r="E694" s="2" t="s">
        <v>0</v>
      </c>
      <c r="F694" s="2" t="s">
        <v>41</v>
      </c>
      <c r="G694" s="1" t="s">
        <v>786</v>
      </c>
      <c r="H694" s="2">
        <v>1</v>
      </c>
      <c r="I694" s="2">
        <v>20</v>
      </c>
      <c r="K694" s="40">
        <v>0</v>
      </c>
    </row>
    <row r="695" spans="1:11" x14ac:dyDescent="0.25">
      <c r="A695" s="1">
        <v>2244253</v>
      </c>
      <c r="B695" s="1" t="s">
        <v>700</v>
      </c>
      <c r="D695" s="2">
        <v>0</v>
      </c>
      <c r="E695" s="2" t="s">
        <v>0</v>
      </c>
      <c r="F695" s="2" t="s">
        <v>41</v>
      </c>
      <c r="G695" s="1" t="s">
        <v>786</v>
      </c>
      <c r="H695" s="2">
        <v>1</v>
      </c>
      <c r="I695" s="2">
        <v>20</v>
      </c>
      <c r="K695" s="40">
        <v>0</v>
      </c>
    </row>
    <row r="696" spans="1:11" x14ac:dyDescent="0.25">
      <c r="A696" s="1">
        <v>2244304</v>
      </c>
      <c r="B696" s="1" t="s">
        <v>701</v>
      </c>
      <c r="D696" s="2">
        <v>0</v>
      </c>
      <c r="E696" s="2" t="s">
        <v>0</v>
      </c>
      <c r="F696" s="2" t="s">
        <v>41</v>
      </c>
      <c r="G696" s="1" t="s">
        <v>2056</v>
      </c>
      <c r="H696" s="2">
        <v>1</v>
      </c>
      <c r="I696" s="2">
        <v>20</v>
      </c>
      <c r="J696" s="15">
        <v>382.66</v>
      </c>
      <c r="K696" s="40">
        <v>0</v>
      </c>
    </row>
    <row r="697" spans="1:11" x14ac:dyDescent="0.25">
      <c r="A697" s="1">
        <v>2244305</v>
      </c>
      <c r="B697" s="1" t="s">
        <v>702</v>
      </c>
      <c r="D697" s="2">
        <v>0</v>
      </c>
      <c r="E697" s="2" t="s">
        <v>0</v>
      </c>
      <c r="F697" s="2" t="s">
        <v>41</v>
      </c>
      <c r="G697" s="1" t="s">
        <v>2056</v>
      </c>
      <c r="H697" s="2">
        <v>1</v>
      </c>
      <c r="I697" s="2">
        <v>20</v>
      </c>
      <c r="J697" s="15">
        <v>327.54000000000002</v>
      </c>
      <c r="K697" s="40">
        <v>0</v>
      </c>
    </row>
    <row r="698" spans="1:11" x14ac:dyDescent="0.25">
      <c r="A698" s="1">
        <v>2143893</v>
      </c>
      <c r="B698" s="1" t="s">
        <v>703</v>
      </c>
      <c r="D698" s="2">
        <v>0</v>
      </c>
      <c r="E698" s="2" t="s">
        <v>39</v>
      </c>
      <c r="F698" s="2" t="s">
        <v>41</v>
      </c>
      <c r="G698" s="1" t="s">
        <v>1968</v>
      </c>
      <c r="H698" s="2">
        <v>1</v>
      </c>
      <c r="I698" s="2">
        <v>14</v>
      </c>
      <c r="J698" s="15">
        <v>12.11</v>
      </c>
      <c r="K698" s="40">
        <v>0</v>
      </c>
    </row>
    <row r="699" spans="1:11" x14ac:dyDescent="0.25">
      <c r="A699" s="1">
        <v>2143892</v>
      </c>
      <c r="B699" s="1" t="s">
        <v>704</v>
      </c>
      <c r="D699" s="2">
        <v>0</v>
      </c>
      <c r="E699" s="2" t="s">
        <v>39</v>
      </c>
      <c r="F699" s="2" t="s">
        <v>41</v>
      </c>
      <c r="G699" s="1" t="s">
        <v>1968</v>
      </c>
      <c r="H699" s="2">
        <v>1</v>
      </c>
      <c r="I699" s="2">
        <v>14</v>
      </c>
      <c r="J699" s="15">
        <v>7.63</v>
      </c>
      <c r="K699" s="40">
        <v>0</v>
      </c>
    </row>
    <row r="700" spans="1:11" x14ac:dyDescent="0.25">
      <c r="A700" s="1">
        <v>2143895</v>
      </c>
      <c r="B700" s="1" t="s">
        <v>705</v>
      </c>
      <c r="D700" s="2">
        <v>0</v>
      </c>
      <c r="E700" s="2" t="s">
        <v>39</v>
      </c>
      <c r="F700" s="2" t="s">
        <v>41</v>
      </c>
      <c r="G700" s="1" t="s">
        <v>786</v>
      </c>
      <c r="H700" s="2">
        <v>1</v>
      </c>
      <c r="I700" s="2">
        <v>14</v>
      </c>
      <c r="K700" s="40">
        <v>0</v>
      </c>
    </row>
    <row r="701" spans="1:11" x14ac:dyDescent="0.25">
      <c r="A701" s="1">
        <v>2143891</v>
      </c>
      <c r="B701" s="1" t="s">
        <v>706</v>
      </c>
      <c r="D701" s="2">
        <v>0</v>
      </c>
      <c r="E701" s="2" t="s">
        <v>39</v>
      </c>
      <c r="F701" s="2" t="s">
        <v>41</v>
      </c>
      <c r="G701" s="1" t="s">
        <v>1968</v>
      </c>
      <c r="H701" s="2">
        <v>1</v>
      </c>
      <c r="I701" s="2">
        <v>14</v>
      </c>
      <c r="J701" s="15">
        <v>4.2699999999999996</v>
      </c>
      <c r="K701" s="40">
        <v>0</v>
      </c>
    </row>
    <row r="702" spans="1:11" x14ac:dyDescent="0.25">
      <c r="A702" s="1">
        <v>2143890</v>
      </c>
      <c r="B702" s="1" t="s">
        <v>707</v>
      </c>
      <c r="D702" s="2">
        <v>0</v>
      </c>
      <c r="E702" s="2" t="s">
        <v>39</v>
      </c>
      <c r="F702" s="2" t="s">
        <v>41</v>
      </c>
      <c r="G702" s="1" t="s">
        <v>1968</v>
      </c>
      <c r="H702" s="2">
        <v>1</v>
      </c>
      <c r="I702" s="2">
        <v>14</v>
      </c>
      <c r="J702" s="15">
        <v>3.11</v>
      </c>
      <c r="K702" s="40">
        <v>0</v>
      </c>
    </row>
    <row r="703" spans="1:11" x14ac:dyDescent="0.25">
      <c r="A703" s="1">
        <v>2143888</v>
      </c>
      <c r="B703" s="1" t="s">
        <v>708</v>
      </c>
      <c r="D703" s="2">
        <v>0</v>
      </c>
      <c r="E703" s="2" t="s">
        <v>39</v>
      </c>
      <c r="F703" s="2" t="s">
        <v>41</v>
      </c>
      <c r="G703" s="1" t="s">
        <v>786</v>
      </c>
      <c r="H703" s="2">
        <v>1</v>
      </c>
      <c r="I703" s="2">
        <v>14</v>
      </c>
      <c r="K703" s="40">
        <v>0</v>
      </c>
    </row>
    <row r="704" spans="1:11" x14ac:dyDescent="0.25">
      <c r="A704" s="1">
        <v>2143896</v>
      </c>
      <c r="B704" s="1" t="s">
        <v>709</v>
      </c>
      <c r="D704" s="2">
        <v>0</v>
      </c>
      <c r="E704" s="2" t="s">
        <v>39</v>
      </c>
      <c r="F704" s="2" t="s">
        <v>41</v>
      </c>
      <c r="G704" s="1" t="s">
        <v>786</v>
      </c>
      <c r="H704" s="2">
        <v>1</v>
      </c>
      <c r="I704" s="2">
        <v>14</v>
      </c>
      <c r="K704" s="40">
        <v>0</v>
      </c>
    </row>
    <row r="705" spans="1:11" x14ac:dyDescent="0.25">
      <c r="A705" s="1">
        <v>1190387</v>
      </c>
      <c r="B705" s="1" t="s">
        <v>710</v>
      </c>
      <c r="D705" s="2">
        <v>0</v>
      </c>
      <c r="E705" s="2" t="s">
        <v>39</v>
      </c>
      <c r="F705" s="2" t="s">
        <v>41</v>
      </c>
      <c r="G705" s="1" t="s">
        <v>786</v>
      </c>
      <c r="H705" s="2">
        <v>1</v>
      </c>
      <c r="I705" s="2">
        <v>14</v>
      </c>
      <c r="K705" s="40">
        <v>0</v>
      </c>
    </row>
    <row r="706" spans="1:11" x14ac:dyDescent="0.25">
      <c r="A706" s="1">
        <v>1089850</v>
      </c>
      <c r="B706" s="1" t="s">
        <v>711</v>
      </c>
      <c r="D706" s="2">
        <v>0</v>
      </c>
      <c r="E706" s="2" t="s">
        <v>0</v>
      </c>
      <c r="F706" s="2" t="s">
        <v>561</v>
      </c>
      <c r="G706" s="1" t="s">
        <v>786</v>
      </c>
      <c r="H706" s="2">
        <v>1</v>
      </c>
      <c r="I706" s="2">
        <v>14</v>
      </c>
      <c r="K706" s="40">
        <v>0</v>
      </c>
    </row>
    <row r="707" spans="1:11" x14ac:dyDescent="0.25">
      <c r="A707" s="1">
        <v>1461884</v>
      </c>
      <c r="B707" s="1" t="s">
        <v>712</v>
      </c>
      <c r="D707" s="2">
        <v>0</v>
      </c>
      <c r="E707" s="2" t="s">
        <v>0</v>
      </c>
      <c r="F707" s="2" t="s">
        <v>561</v>
      </c>
      <c r="G707" s="1" t="s">
        <v>786</v>
      </c>
      <c r="H707" s="2">
        <v>1</v>
      </c>
      <c r="I707" s="2">
        <v>14</v>
      </c>
      <c r="K707" s="40">
        <v>0</v>
      </c>
    </row>
    <row r="708" spans="1:11" x14ac:dyDescent="0.25">
      <c r="A708" s="1">
        <v>1461892</v>
      </c>
      <c r="B708" s="1" t="s">
        <v>738</v>
      </c>
      <c r="D708" s="2">
        <v>0</v>
      </c>
      <c r="E708" s="2" t="s">
        <v>0</v>
      </c>
      <c r="F708" s="2" t="s">
        <v>561</v>
      </c>
      <c r="G708" s="1" t="s">
        <v>786</v>
      </c>
      <c r="H708" s="2">
        <v>1</v>
      </c>
      <c r="I708" s="2">
        <v>14</v>
      </c>
      <c r="K708" s="40">
        <v>0</v>
      </c>
    </row>
    <row r="709" spans="1:11" x14ac:dyDescent="0.25">
      <c r="A709" s="1">
        <v>1354274</v>
      </c>
      <c r="B709" s="1" t="s">
        <v>713</v>
      </c>
      <c r="D709" s="2">
        <v>0</v>
      </c>
      <c r="E709" s="2" t="s">
        <v>0</v>
      </c>
      <c r="F709" s="2" t="s">
        <v>561</v>
      </c>
      <c r="G709" s="1" t="s">
        <v>1968</v>
      </c>
      <c r="H709" s="2">
        <v>1</v>
      </c>
      <c r="I709" s="2">
        <v>14</v>
      </c>
      <c r="J709" s="15">
        <v>4.25</v>
      </c>
      <c r="K709" s="40">
        <v>0</v>
      </c>
    </row>
    <row r="710" spans="1:11" x14ac:dyDescent="0.25">
      <c r="A710" s="1">
        <v>1016954</v>
      </c>
      <c r="B710" s="1" t="s">
        <v>714</v>
      </c>
      <c r="D710" s="2">
        <v>0</v>
      </c>
      <c r="E710" s="2" t="s">
        <v>0</v>
      </c>
      <c r="F710" s="2" t="s">
        <v>561</v>
      </c>
      <c r="G710" s="1" t="s">
        <v>1968</v>
      </c>
      <c r="H710" s="2">
        <v>1</v>
      </c>
      <c r="I710" s="2">
        <v>14</v>
      </c>
      <c r="J710" s="15">
        <v>12.28</v>
      </c>
      <c r="K710" s="40">
        <v>0</v>
      </c>
    </row>
    <row r="711" spans="1:11" x14ac:dyDescent="0.25">
      <c r="A711" s="1">
        <v>2379408</v>
      </c>
      <c r="B711" s="1" t="s">
        <v>715</v>
      </c>
      <c r="D711" s="2">
        <v>0</v>
      </c>
      <c r="E711" s="2" t="s">
        <v>0</v>
      </c>
      <c r="F711" s="2" t="s">
        <v>561</v>
      </c>
      <c r="G711" s="1" t="s">
        <v>786</v>
      </c>
      <c r="H711" s="2">
        <v>1</v>
      </c>
      <c r="I711" s="2">
        <v>14</v>
      </c>
      <c r="K711" s="40">
        <v>0</v>
      </c>
    </row>
    <row r="712" spans="1:11" x14ac:dyDescent="0.25">
      <c r="A712" s="1">
        <v>2379410</v>
      </c>
      <c r="B712" s="1" t="s">
        <v>716</v>
      </c>
      <c r="D712" s="2">
        <v>0</v>
      </c>
      <c r="E712" s="2" t="s">
        <v>0</v>
      </c>
      <c r="F712" s="2" t="s">
        <v>561</v>
      </c>
      <c r="G712" s="1" t="s">
        <v>786</v>
      </c>
      <c r="H712" s="2">
        <v>1</v>
      </c>
      <c r="I712" s="2">
        <v>14</v>
      </c>
      <c r="K712" s="40">
        <v>0</v>
      </c>
    </row>
    <row r="713" spans="1:11" x14ac:dyDescent="0.25">
      <c r="A713" s="1">
        <v>2253003</v>
      </c>
      <c r="B713" s="1" t="s">
        <v>717</v>
      </c>
      <c r="D713" s="2">
        <v>0</v>
      </c>
      <c r="E713" s="2" t="s">
        <v>0</v>
      </c>
      <c r="F713" s="2" t="s">
        <v>561</v>
      </c>
      <c r="G713" s="1" t="s">
        <v>1968</v>
      </c>
      <c r="H713" s="2">
        <v>1</v>
      </c>
      <c r="I713" s="2">
        <v>14</v>
      </c>
      <c r="J713" s="15">
        <v>11.04</v>
      </c>
      <c r="K713" s="40">
        <v>0</v>
      </c>
    </row>
    <row r="714" spans="1:11" x14ac:dyDescent="0.25">
      <c r="A714" s="1">
        <v>2252132</v>
      </c>
      <c r="B714" s="1" t="s">
        <v>718</v>
      </c>
      <c r="D714" s="2">
        <v>0</v>
      </c>
      <c r="E714" s="2" t="s">
        <v>0</v>
      </c>
      <c r="F714" s="2" t="s">
        <v>561</v>
      </c>
      <c r="G714" s="1" t="s">
        <v>786</v>
      </c>
      <c r="H714" s="2">
        <v>1</v>
      </c>
      <c r="I714" s="2">
        <v>14</v>
      </c>
      <c r="K714" s="40">
        <v>0</v>
      </c>
    </row>
    <row r="715" spans="1:11" x14ac:dyDescent="0.25">
      <c r="A715" s="1">
        <v>2252106</v>
      </c>
      <c r="B715" s="1" t="s">
        <v>719</v>
      </c>
      <c r="D715" s="2">
        <v>0</v>
      </c>
      <c r="E715" s="2" t="s">
        <v>0</v>
      </c>
      <c r="F715" s="2" t="s">
        <v>561</v>
      </c>
      <c r="G715" s="1" t="s">
        <v>1968</v>
      </c>
      <c r="H715" s="2">
        <v>1</v>
      </c>
      <c r="I715" s="2">
        <v>14</v>
      </c>
      <c r="J715" s="15">
        <v>0.47</v>
      </c>
      <c r="K715" s="40">
        <v>0</v>
      </c>
    </row>
    <row r="716" spans="1:11" x14ac:dyDescent="0.25">
      <c r="A716" s="1">
        <v>1083519</v>
      </c>
      <c r="B716" s="1" t="s">
        <v>720</v>
      </c>
      <c r="D716" s="2">
        <v>0</v>
      </c>
      <c r="E716" s="2" t="s">
        <v>0</v>
      </c>
      <c r="F716" s="2" t="s">
        <v>561</v>
      </c>
      <c r="G716" s="1" t="s">
        <v>1968</v>
      </c>
      <c r="H716" s="2">
        <v>1</v>
      </c>
      <c r="I716" s="2">
        <v>14</v>
      </c>
      <c r="J716" s="15">
        <v>0.89</v>
      </c>
      <c r="K716" s="40">
        <v>0</v>
      </c>
    </row>
    <row r="717" spans="1:11" x14ac:dyDescent="0.25">
      <c r="A717" s="1">
        <v>1089417</v>
      </c>
      <c r="B717" s="1" t="s">
        <v>721</v>
      </c>
      <c r="D717" s="2">
        <v>0</v>
      </c>
      <c r="E717" s="2" t="s">
        <v>0</v>
      </c>
      <c r="F717" s="2" t="s">
        <v>561</v>
      </c>
      <c r="G717" s="1" t="s">
        <v>786</v>
      </c>
      <c r="H717" s="2">
        <v>1</v>
      </c>
      <c r="I717" s="2">
        <v>14</v>
      </c>
      <c r="J717" s="15">
        <v>54.85</v>
      </c>
      <c r="K717" s="40">
        <v>0</v>
      </c>
    </row>
    <row r="718" spans="1:11" x14ac:dyDescent="0.25">
      <c r="A718" s="1">
        <v>1089407</v>
      </c>
      <c r="B718" s="1" t="s">
        <v>722</v>
      </c>
      <c r="D718" s="2">
        <v>0</v>
      </c>
      <c r="E718" s="2" t="s">
        <v>0</v>
      </c>
      <c r="F718" s="2" t="s">
        <v>561</v>
      </c>
      <c r="G718" s="1" t="s">
        <v>786</v>
      </c>
      <c r="H718" s="2">
        <v>1</v>
      </c>
      <c r="I718" s="2">
        <v>14</v>
      </c>
      <c r="K718" s="40">
        <v>0</v>
      </c>
    </row>
    <row r="719" spans="1:11" x14ac:dyDescent="0.25">
      <c r="A719" s="1">
        <v>1197912</v>
      </c>
      <c r="B719" s="1" t="s">
        <v>723</v>
      </c>
      <c r="D719" s="2">
        <v>0</v>
      </c>
      <c r="E719" s="2" t="s">
        <v>0</v>
      </c>
      <c r="F719" s="2" t="s">
        <v>561</v>
      </c>
      <c r="G719" s="1" t="s">
        <v>1968</v>
      </c>
      <c r="H719" s="2">
        <v>1</v>
      </c>
      <c r="I719" s="2">
        <v>14</v>
      </c>
      <c r="J719" s="15">
        <v>270.93</v>
      </c>
      <c r="K719" s="40">
        <v>0</v>
      </c>
    </row>
    <row r="720" spans="1:11" x14ac:dyDescent="0.25">
      <c r="A720" s="1">
        <v>2247214</v>
      </c>
      <c r="B720" s="1" t="s">
        <v>724</v>
      </c>
      <c r="D720" s="2">
        <v>0</v>
      </c>
      <c r="E720" s="2" t="s">
        <v>0</v>
      </c>
      <c r="F720" s="2" t="s">
        <v>41</v>
      </c>
      <c r="G720" s="1" t="s">
        <v>786</v>
      </c>
      <c r="H720" s="2">
        <v>1</v>
      </c>
      <c r="I720" s="2">
        <v>28</v>
      </c>
      <c r="J720" s="15">
        <v>43.42</v>
      </c>
      <c r="K720" s="40">
        <v>0</v>
      </c>
    </row>
    <row r="721" spans="1:11" x14ac:dyDescent="0.25">
      <c r="A721" s="1">
        <v>1014172</v>
      </c>
      <c r="B721" s="1" t="s">
        <v>725</v>
      </c>
      <c r="D721" s="2">
        <v>0</v>
      </c>
      <c r="E721" s="2" t="s">
        <v>0</v>
      </c>
      <c r="F721" s="2" t="s">
        <v>41</v>
      </c>
      <c r="G721" s="1" t="s">
        <v>1968</v>
      </c>
      <c r="H721" s="2">
        <v>1</v>
      </c>
      <c r="I721" s="2">
        <v>7</v>
      </c>
      <c r="J721" s="15">
        <v>146.04</v>
      </c>
      <c r="K721" s="40">
        <v>0</v>
      </c>
    </row>
    <row r="722" spans="1:11" x14ac:dyDescent="0.25">
      <c r="A722" s="1">
        <v>2383743</v>
      </c>
      <c r="B722" s="1" t="s">
        <v>726</v>
      </c>
      <c r="D722" s="2">
        <v>0</v>
      </c>
      <c r="E722" s="2" t="s">
        <v>0</v>
      </c>
      <c r="F722" s="2" t="s">
        <v>557</v>
      </c>
      <c r="G722" s="1" t="s">
        <v>1968</v>
      </c>
      <c r="H722" s="2">
        <v>1</v>
      </c>
      <c r="I722" s="2">
        <v>42</v>
      </c>
      <c r="J722" s="15">
        <v>23.96</v>
      </c>
      <c r="K722" s="40">
        <v>0</v>
      </c>
    </row>
    <row r="723" spans="1:11" x14ac:dyDescent="0.25">
      <c r="A723" s="1">
        <v>2383744</v>
      </c>
      <c r="B723" s="1" t="s">
        <v>727</v>
      </c>
      <c r="D723" s="2">
        <v>0</v>
      </c>
      <c r="E723" s="2" t="s">
        <v>0</v>
      </c>
      <c r="F723" s="2" t="s">
        <v>557</v>
      </c>
      <c r="G723" s="1" t="s">
        <v>1968</v>
      </c>
      <c r="H723" s="2">
        <v>1</v>
      </c>
      <c r="I723" s="2">
        <v>42</v>
      </c>
      <c r="J723" s="15">
        <v>25.81</v>
      </c>
      <c r="K723" s="40">
        <v>0</v>
      </c>
    </row>
    <row r="724" spans="1:11" x14ac:dyDescent="0.25">
      <c r="A724" s="1">
        <v>1017251</v>
      </c>
      <c r="B724" s="1" t="s">
        <v>728</v>
      </c>
      <c r="D724" s="2">
        <v>0</v>
      </c>
      <c r="E724" s="2" t="s">
        <v>0</v>
      </c>
      <c r="F724" s="2" t="s">
        <v>557</v>
      </c>
      <c r="G724" s="1" t="s">
        <v>1969</v>
      </c>
      <c r="H724" s="2">
        <v>1</v>
      </c>
      <c r="I724" s="2">
        <v>42</v>
      </c>
      <c r="J724" s="15">
        <v>25.39</v>
      </c>
      <c r="K724" s="40">
        <v>0</v>
      </c>
    </row>
    <row r="725" spans="1:11" x14ac:dyDescent="0.25">
      <c r="A725" s="1">
        <v>1095119</v>
      </c>
      <c r="B725" s="1" t="s">
        <v>729</v>
      </c>
      <c r="D725" s="2">
        <v>0</v>
      </c>
      <c r="E725" s="2" t="s">
        <v>0</v>
      </c>
      <c r="F725" s="2" t="s">
        <v>561</v>
      </c>
      <c r="G725" s="1" t="s">
        <v>786</v>
      </c>
      <c r="H725" s="2">
        <v>1</v>
      </c>
      <c r="I725" s="2">
        <v>42</v>
      </c>
      <c r="K725" s="40">
        <v>0</v>
      </c>
    </row>
    <row r="726" spans="1:11" x14ac:dyDescent="0.25">
      <c r="A726" s="1">
        <v>1014968</v>
      </c>
      <c r="B726" s="1" t="s">
        <v>730</v>
      </c>
      <c r="D726" s="2">
        <v>0</v>
      </c>
      <c r="E726" s="2" t="s">
        <v>0</v>
      </c>
      <c r="F726" s="2" t="s">
        <v>561</v>
      </c>
      <c r="G726" s="1" t="s">
        <v>786</v>
      </c>
      <c r="H726" s="2">
        <v>1</v>
      </c>
      <c r="I726" s="2">
        <v>42</v>
      </c>
      <c r="K726" s="40">
        <v>0</v>
      </c>
    </row>
    <row r="727" spans="1:11" x14ac:dyDescent="0.25">
      <c r="A727" s="1">
        <v>2379460</v>
      </c>
      <c r="B727" s="1" t="s">
        <v>731</v>
      </c>
      <c r="D727" s="2">
        <v>0</v>
      </c>
      <c r="E727" s="2" t="s">
        <v>54</v>
      </c>
      <c r="F727" s="2" t="s">
        <v>42</v>
      </c>
      <c r="G727" s="1" t="s">
        <v>786</v>
      </c>
      <c r="H727" s="2">
        <v>1</v>
      </c>
      <c r="I727" s="2">
        <v>42</v>
      </c>
      <c r="K727" s="40">
        <v>0</v>
      </c>
    </row>
    <row r="728" spans="1:11" x14ac:dyDescent="0.25">
      <c r="A728" s="1">
        <v>2374135</v>
      </c>
      <c r="B728" s="1" t="s">
        <v>732</v>
      </c>
      <c r="D728" s="2">
        <v>0</v>
      </c>
      <c r="E728" s="2" t="s">
        <v>54</v>
      </c>
      <c r="F728" s="2" t="s">
        <v>42</v>
      </c>
      <c r="G728" s="1" t="s">
        <v>786</v>
      </c>
      <c r="H728" s="2">
        <v>1</v>
      </c>
      <c r="I728" s="2">
        <v>42</v>
      </c>
      <c r="K728" s="40">
        <v>0</v>
      </c>
    </row>
    <row r="729" spans="1:11" x14ac:dyDescent="0.25">
      <c r="A729" s="1">
        <v>2253315</v>
      </c>
      <c r="B729" s="1" t="s">
        <v>733</v>
      </c>
      <c r="D729" s="2">
        <v>0</v>
      </c>
      <c r="E729" s="2" t="s">
        <v>0</v>
      </c>
      <c r="F729" s="2" t="s">
        <v>561</v>
      </c>
      <c r="G729" s="1" t="s">
        <v>1969</v>
      </c>
      <c r="H729" s="2">
        <v>1</v>
      </c>
      <c r="I729" s="2">
        <v>28</v>
      </c>
      <c r="J729" s="15">
        <v>152.96</v>
      </c>
      <c r="K729" s="40">
        <v>0</v>
      </c>
    </row>
    <row r="730" spans="1:11" x14ac:dyDescent="0.25">
      <c r="A730" s="1">
        <v>2285318</v>
      </c>
      <c r="B730" s="1" t="s">
        <v>740</v>
      </c>
      <c r="D730" s="2">
        <v>0</v>
      </c>
      <c r="E730" s="2" t="s">
        <v>0</v>
      </c>
      <c r="F730" s="2" t="s">
        <v>40</v>
      </c>
      <c r="G730" s="1" t="s">
        <v>1969</v>
      </c>
      <c r="H730" s="2">
        <v>1</v>
      </c>
      <c r="I730" s="2">
        <v>7</v>
      </c>
      <c r="J730" s="15">
        <v>256.55</v>
      </c>
      <c r="K730" s="40">
        <v>0</v>
      </c>
    </row>
    <row r="731" spans="1:11" x14ac:dyDescent="0.25">
      <c r="A731" s="1">
        <v>1124739</v>
      </c>
      <c r="B731" s="1" t="s">
        <v>741</v>
      </c>
      <c r="D731" s="2">
        <v>0</v>
      </c>
      <c r="E731" s="2" t="s">
        <v>0</v>
      </c>
      <c r="F731" s="2" t="s">
        <v>40</v>
      </c>
      <c r="G731" s="1" t="s">
        <v>786</v>
      </c>
      <c r="H731" s="2">
        <v>1</v>
      </c>
      <c r="I731" s="2">
        <v>7</v>
      </c>
      <c r="K731" s="40">
        <v>0</v>
      </c>
    </row>
    <row r="732" spans="1:11" x14ac:dyDescent="0.25">
      <c r="A732" s="1">
        <v>1124740</v>
      </c>
      <c r="B732" s="1" t="s">
        <v>742</v>
      </c>
      <c r="D732" s="2">
        <v>0</v>
      </c>
      <c r="E732" s="2" t="s">
        <v>0</v>
      </c>
      <c r="F732" s="2" t="s">
        <v>40</v>
      </c>
      <c r="G732" s="1" t="s">
        <v>786</v>
      </c>
      <c r="H732" s="2">
        <v>1</v>
      </c>
      <c r="I732" s="2">
        <v>7</v>
      </c>
      <c r="K732" s="40">
        <v>0</v>
      </c>
    </row>
    <row r="733" spans="1:11" x14ac:dyDescent="0.25">
      <c r="A733" s="1">
        <v>2370387</v>
      </c>
      <c r="B733" s="1" t="s">
        <v>743</v>
      </c>
      <c r="D733" s="2">
        <v>0</v>
      </c>
      <c r="E733" s="2" t="s">
        <v>0</v>
      </c>
      <c r="F733" s="2" t="s">
        <v>40</v>
      </c>
      <c r="G733" s="1" t="s">
        <v>1968</v>
      </c>
      <c r="H733" s="2">
        <v>1</v>
      </c>
      <c r="I733" s="2">
        <v>7</v>
      </c>
      <c r="J733" s="15">
        <v>2.13</v>
      </c>
      <c r="K733" s="40">
        <v>0</v>
      </c>
    </row>
    <row r="734" spans="1:11" x14ac:dyDescent="0.25">
      <c r="A734" s="1">
        <v>2392786</v>
      </c>
      <c r="B734" s="1" t="s">
        <v>744</v>
      </c>
      <c r="D734" s="2">
        <v>0</v>
      </c>
      <c r="E734" s="2" t="s">
        <v>56</v>
      </c>
      <c r="F734" s="2" t="s">
        <v>41</v>
      </c>
      <c r="G734" s="1" t="s">
        <v>1968</v>
      </c>
      <c r="H734" s="2">
        <v>1</v>
      </c>
      <c r="I734" s="2">
        <v>7</v>
      </c>
      <c r="J734" s="15">
        <v>23.39</v>
      </c>
      <c r="K734" s="40">
        <v>0</v>
      </c>
    </row>
    <row r="735" spans="1:11" x14ac:dyDescent="0.25">
      <c r="A735" s="1">
        <v>1032234</v>
      </c>
      <c r="B735" s="1" t="s">
        <v>745</v>
      </c>
      <c r="D735" s="2">
        <v>0</v>
      </c>
      <c r="E735" s="2" t="s">
        <v>0</v>
      </c>
      <c r="F735" s="2" t="s">
        <v>42</v>
      </c>
      <c r="G735" s="1" t="s">
        <v>1968</v>
      </c>
      <c r="H735" s="2">
        <v>1</v>
      </c>
      <c r="J735" s="15">
        <v>29.22</v>
      </c>
      <c r="K735" s="40">
        <v>0</v>
      </c>
    </row>
    <row r="736" spans="1:11" x14ac:dyDescent="0.25">
      <c r="A736" s="1">
        <v>1758833</v>
      </c>
      <c r="B736" s="1" t="s">
        <v>746</v>
      </c>
      <c r="D736" s="2">
        <v>0</v>
      </c>
      <c r="E736" s="2" t="s">
        <v>0</v>
      </c>
      <c r="F736" s="2" t="s">
        <v>43</v>
      </c>
      <c r="G736" s="1" t="s">
        <v>786</v>
      </c>
      <c r="H736" s="2">
        <v>1</v>
      </c>
      <c r="I736" s="2">
        <v>7</v>
      </c>
      <c r="K736" s="40">
        <v>0</v>
      </c>
    </row>
    <row r="737" spans="1:11" x14ac:dyDescent="0.25">
      <c r="A737" s="1">
        <v>2964003</v>
      </c>
      <c r="B737" s="1" t="s">
        <v>747</v>
      </c>
      <c r="D737" s="2">
        <v>0</v>
      </c>
      <c r="E737" s="2" t="s">
        <v>0</v>
      </c>
      <c r="F737" s="2" t="s">
        <v>43</v>
      </c>
      <c r="G737" s="1" t="s">
        <v>1968</v>
      </c>
      <c r="H737" s="2">
        <v>1</v>
      </c>
      <c r="I737" s="2">
        <v>7</v>
      </c>
      <c r="J737" s="15">
        <v>137.44</v>
      </c>
      <c r="K737" s="40">
        <v>0</v>
      </c>
    </row>
    <row r="738" spans="1:11" x14ac:dyDescent="0.25">
      <c r="A738" s="1">
        <v>2396764</v>
      </c>
      <c r="B738" s="1" t="s">
        <v>748</v>
      </c>
      <c r="D738" s="2">
        <v>0</v>
      </c>
      <c r="E738" s="2" t="s">
        <v>302</v>
      </c>
      <c r="F738" s="2" t="s">
        <v>557</v>
      </c>
      <c r="G738" s="1" t="s">
        <v>786</v>
      </c>
      <c r="H738" s="2">
        <v>1</v>
      </c>
      <c r="I738" s="2">
        <v>7</v>
      </c>
      <c r="K738" s="40">
        <v>0</v>
      </c>
    </row>
    <row r="739" spans="1:11" x14ac:dyDescent="0.25">
      <c r="A739" s="1">
        <v>139606</v>
      </c>
      <c r="B739" s="1" t="s">
        <v>749</v>
      </c>
      <c r="D739" s="2">
        <v>0</v>
      </c>
      <c r="E739" s="2" t="s">
        <v>39</v>
      </c>
      <c r="F739" s="2" t="s">
        <v>561</v>
      </c>
      <c r="G739" s="1" t="s">
        <v>786</v>
      </c>
      <c r="H739" s="2">
        <v>1</v>
      </c>
      <c r="K739" s="40">
        <v>0</v>
      </c>
    </row>
    <row r="740" spans="1:11" x14ac:dyDescent="0.25">
      <c r="A740" s="1">
        <v>139607</v>
      </c>
      <c r="B740" s="1" t="s">
        <v>750</v>
      </c>
      <c r="D740" s="2">
        <v>0</v>
      </c>
      <c r="E740" s="2" t="s">
        <v>0</v>
      </c>
      <c r="F740" s="2" t="s">
        <v>561</v>
      </c>
      <c r="G740" s="1" t="s">
        <v>786</v>
      </c>
      <c r="H740" s="2">
        <v>1</v>
      </c>
      <c r="K740" s="40">
        <v>0</v>
      </c>
    </row>
    <row r="741" spans="1:11" x14ac:dyDescent="0.25">
      <c r="A741" s="1">
        <v>1461878</v>
      </c>
      <c r="B741" s="1" t="s">
        <v>751</v>
      </c>
      <c r="D741" s="2">
        <v>0</v>
      </c>
      <c r="E741" s="2" t="s">
        <v>0</v>
      </c>
      <c r="F741" s="2" t="s">
        <v>561</v>
      </c>
      <c r="G741" s="1" t="s">
        <v>1968</v>
      </c>
      <c r="H741" s="2">
        <v>1</v>
      </c>
      <c r="I741" s="2">
        <v>14</v>
      </c>
      <c r="J741" s="15">
        <v>5.84</v>
      </c>
      <c r="K741" s="40">
        <v>0</v>
      </c>
    </row>
    <row r="742" spans="1:11" x14ac:dyDescent="0.25">
      <c r="A742" s="1">
        <v>2393423</v>
      </c>
      <c r="B742" s="1" t="s">
        <v>752</v>
      </c>
      <c r="D742" s="2">
        <v>0</v>
      </c>
      <c r="E742" s="2" t="s">
        <v>39</v>
      </c>
      <c r="F742" s="2" t="s">
        <v>41</v>
      </c>
      <c r="G742" s="1" t="s">
        <v>786</v>
      </c>
      <c r="H742" s="2">
        <v>500</v>
      </c>
      <c r="I742" s="2">
        <v>42</v>
      </c>
      <c r="K742" s="40">
        <v>0</v>
      </c>
    </row>
    <row r="743" spans="1:11" x14ac:dyDescent="0.25">
      <c r="A743" s="1">
        <v>1094130</v>
      </c>
      <c r="B743" s="1" t="s">
        <v>753</v>
      </c>
      <c r="D743" s="2">
        <v>0</v>
      </c>
      <c r="F743" s="2" t="s">
        <v>42</v>
      </c>
      <c r="G743" s="1" t="s">
        <v>786</v>
      </c>
      <c r="H743" s="2">
        <v>1</v>
      </c>
      <c r="I743" s="2">
        <v>7</v>
      </c>
      <c r="J743" s="15">
        <v>264.41000000000003</v>
      </c>
      <c r="K743" s="40">
        <v>0</v>
      </c>
    </row>
    <row r="744" spans="1:11" x14ac:dyDescent="0.25">
      <c r="A744" s="1">
        <v>1006030</v>
      </c>
      <c r="B744" s="1" t="s">
        <v>754</v>
      </c>
      <c r="D744" s="2">
        <v>0</v>
      </c>
      <c r="F744" s="2" t="s">
        <v>40</v>
      </c>
      <c r="G744" s="1" t="s">
        <v>1968</v>
      </c>
      <c r="H744" s="2">
        <v>1</v>
      </c>
      <c r="I744" s="2">
        <v>7</v>
      </c>
      <c r="J744" s="15">
        <v>7.33</v>
      </c>
      <c r="K744" s="40">
        <v>0</v>
      </c>
    </row>
    <row r="745" spans="1:11" x14ac:dyDescent="0.25">
      <c r="A745" s="1">
        <v>2243867</v>
      </c>
      <c r="B745" s="1" t="s">
        <v>755</v>
      </c>
      <c r="D745" s="2">
        <v>0</v>
      </c>
      <c r="F745" s="2" t="s">
        <v>40</v>
      </c>
      <c r="G745" s="1" t="s">
        <v>1968</v>
      </c>
      <c r="H745" s="2">
        <v>1</v>
      </c>
      <c r="I745" s="2">
        <v>7</v>
      </c>
      <c r="J745" s="15">
        <v>9.02</v>
      </c>
      <c r="K745" s="40">
        <v>0</v>
      </c>
    </row>
    <row r="746" spans="1:11" x14ac:dyDescent="0.25">
      <c r="A746" s="1">
        <v>1014987</v>
      </c>
      <c r="B746" s="1" t="s">
        <v>756</v>
      </c>
      <c r="D746" s="2">
        <v>0</v>
      </c>
      <c r="F746" s="2" t="s">
        <v>40</v>
      </c>
      <c r="G746" s="1" t="s">
        <v>1968</v>
      </c>
      <c r="H746" s="2">
        <v>1</v>
      </c>
      <c r="I746" s="2">
        <v>7</v>
      </c>
      <c r="J746" s="15">
        <v>10.34</v>
      </c>
      <c r="K746" s="40">
        <v>0</v>
      </c>
    </row>
    <row r="747" spans="1:11" x14ac:dyDescent="0.25">
      <c r="A747" s="1">
        <v>1077157</v>
      </c>
      <c r="B747" s="1" t="s">
        <v>757</v>
      </c>
      <c r="D747" s="2">
        <v>0</v>
      </c>
      <c r="F747" s="2" t="s">
        <v>41</v>
      </c>
      <c r="G747" s="1" t="s">
        <v>786</v>
      </c>
      <c r="H747" s="2">
        <v>1</v>
      </c>
      <c r="I747" s="2">
        <v>7</v>
      </c>
      <c r="J747" s="15">
        <v>273.97000000000003</v>
      </c>
      <c r="K747" s="40">
        <v>0</v>
      </c>
    </row>
    <row r="748" spans="1:11" x14ac:dyDescent="0.25">
      <c r="A748" s="1">
        <v>1060988</v>
      </c>
      <c r="B748" s="1" t="s">
        <v>758</v>
      </c>
      <c r="D748" s="2">
        <v>0</v>
      </c>
      <c r="F748" s="2" t="s">
        <v>41</v>
      </c>
      <c r="G748" s="1" t="s">
        <v>1970</v>
      </c>
      <c r="H748" s="2">
        <v>1</v>
      </c>
      <c r="I748" s="2">
        <v>7</v>
      </c>
      <c r="K748" s="40">
        <v>0</v>
      </c>
    </row>
    <row r="749" spans="1:11" x14ac:dyDescent="0.25">
      <c r="A749" s="1">
        <v>2030024</v>
      </c>
      <c r="B749" s="1" t="s">
        <v>759</v>
      </c>
      <c r="D749" s="2">
        <v>0</v>
      </c>
      <c r="F749" s="2" t="s">
        <v>41</v>
      </c>
      <c r="G749" s="1" t="s">
        <v>786</v>
      </c>
      <c r="H749" s="2">
        <v>1</v>
      </c>
      <c r="I749" s="2">
        <v>7</v>
      </c>
      <c r="K749" s="40">
        <v>0</v>
      </c>
    </row>
    <row r="750" spans="1:11" x14ac:dyDescent="0.25">
      <c r="A750" s="1">
        <v>2030022</v>
      </c>
      <c r="B750" s="1" t="s">
        <v>760</v>
      </c>
      <c r="D750" s="2">
        <v>0</v>
      </c>
      <c r="F750" s="2" t="s">
        <v>41</v>
      </c>
      <c r="G750" s="1" t="s">
        <v>786</v>
      </c>
      <c r="H750" s="2">
        <v>1</v>
      </c>
      <c r="I750" s="2">
        <v>7</v>
      </c>
      <c r="J750" s="15">
        <v>165.99</v>
      </c>
      <c r="K750" s="40">
        <v>0</v>
      </c>
    </row>
    <row r="751" spans="1:11" x14ac:dyDescent="0.25">
      <c r="A751" s="1">
        <v>2398689</v>
      </c>
      <c r="B751" s="1" t="s">
        <v>761</v>
      </c>
      <c r="D751" s="2">
        <v>0</v>
      </c>
      <c r="E751" s="2" t="s">
        <v>56</v>
      </c>
      <c r="F751" s="2" t="s">
        <v>41</v>
      </c>
      <c r="G751" s="1" t="s">
        <v>786</v>
      </c>
      <c r="H751" s="2">
        <v>1</v>
      </c>
      <c r="I751" s="2">
        <v>28</v>
      </c>
      <c r="K751" s="40">
        <v>0</v>
      </c>
    </row>
    <row r="752" spans="1:11" x14ac:dyDescent="0.25">
      <c r="A752" s="1">
        <v>2399163</v>
      </c>
      <c r="B752" s="1" t="s">
        <v>762</v>
      </c>
      <c r="D752" s="2">
        <v>0</v>
      </c>
      <c r="E752" s="2" t="s">
        <v>781</v>
      </c>
      <c r="F752" s="2" t="s">
        <v>41</v>
      </c>
      <c r="G752" s="1" t="s">
        <v>1968</v>
      </c>
      <c r="H752" s="2">
        <v>1</v>
      </c>
      <c r="I752" s="2">
        <v>28</v>
      </c>
      <c r="J752" s="15">
        <v>0.78</v>
      </c>
      <c r="K752" s="40">
        <v>0</v>
      </c>
    </row>
    <row r="753" spans="1:11" x14ac:dyDescent="0.25">
      <c r="A753" s="1">
        <v>2265124</v>
      </c>
      <c r="B753" s="1" t="s">
        <v>763</v>
      </c>
      <c r="D753" s="2">
        <v>0</v>
      </c>
      <c r="E753" s="2" t="s">
        <v>56</v>
      </c>
      <c r="F753" s="2" t="s">
        <v>43</v>
      </c>
      <c r="G753" s="1" t="s">
        <v>1968</v>
      </c>
      <c r="H753" s="2">
        <v>1</v>
      </c>
      <c r="I753" s="2">
        <v>7</v>
      </c>
      <c r="J753" s="15">
        <v>13.62</v>
      </c>
      <c r="K753" s="40">
        <v>0</v>
      </c>
    </row>
    <row r="754" spans="1:11" x14ac:dyDescent="0.25">
      <c r="A754" s="1">
        <v>2377503</v>
      </c>
      <c r="B754" s="1" t="s">
        <v>764</v>
      </c>
      <c r="D754" s="2">
        <v>0</v>
      </c>
      <c r="E754" s="2" t="s">
        <v>0</v>
      </c>
      <c r="F754" s="2" t="s">
        <v>43</v>
      </c>
      <c r="G754" s="1" t="s">
        <v>786</v>
      </c>
      <c r="H754" s="2">
        <v>1</v>
      </c>
      <c r="I754" s="2">
        <v>7</v>
      </c>
      <c r="K754" s="40">
        <v>0</v>
      </c>
    </row>
    <row r="755" spans="1:11" x14ac:dyDescent="0.25">
      <c r="A755" s="1">
        <v>2399015</v>
      </c>
      <c r="B755" s="1" t="s">
        <v>766</v>
      </c>
      <c r="D755" s="2">
        <v>0</v>
      </c>
      <c r="E755" s="2" t="s">
        <v>0</v>
      </c>
      <c r="F755" s="2" t="s">
        <v>42</v>
      </c>
      <c r="G755" s="1" t="s">
        <v>786</v>
      </c>
      <c r="H755" s="2">
        <v>1</v>
      </c>
      <c r="I755" s="2">
        <v>15</v>
      </c>
      <c r="K755" s="40">
        <v>0</v>
      </c>
    </row>
    <row r="756" spans="1:11" x14ac:dyDescent="0.25">
      <c r="A756" s="1">
        <v>2379198</v>
      </c>
      <c r="B756" s="1" t="s">
        <v>767</v>
      </c>
      <c r="D756" s="2">
        <v>0</v>
      </c>
      <c r="E756" s="2" t="s">
        <v>131</v>
      </c>
      <c r="F756" s="2" t="s">
        <v>42</v>
      </c>
      <c r="G756" s="1" t="s">
        <v>786</v>
      </c>
      <c r="H756" s="2">
        <v>1</v>
      </c>
      <c r="I756" s="2">
        <v>15</v>
      </c>
      <c r="K756" s="40">
        <v>0</v>
      </c>
    </row>
    <row r="757" spans="1:11" x14ac:dyDescent="0.25">
      <c r="A757" s="1">
        <v>2379195</v>
      </c>
      <c r="B757" s="1" t="s">
        <v>768</v>
      </c>
      <c r="D757" s="2">
        <v>0</v>
      </c>
      <c r="E757" s="2" t="s">
        <v>131</v>
      </c>
      <c r="F757" s="2" t="s">
        <v>42</v>
      </c>
      <c r="G757" s="1" t="s">
        <v>786</v>
      </c>
      <c r="H757" s="2">
        <v>1</v>
      </c>
      <c r="I757" s="2">
        <v>15</v>
      </c>
      <c r="K757" s="40">
        <v>0</v>
      </c>
    </row>
    <row r="758" spans="1:11" x14ac:dyDescent="0.25">
      <c r="A758" s="1">
        <v>2379196</v>
      </c>
      <c r="B758" s="1" t="s">
        <v>769</v>
      </c>
      <c r="D758" s="2">
        <v>0</v>
      </c>
      <c r="E758" s="2" t="s">
        <v>131</v>
      </c>
      <c r="F758" s="2" t="s">
        <v>42</v>
      </c>
      <c r="G758" s="1" t="s">
        <v>786</v>
      </c>
      <c r="H758" s="2">
        <v>1</v>
      </c>
      <c r="I758" s="2">
        <v>15</v>
      </c>
      <c r="K758" s="40">
        <v>0</v>
      </c>
    </row>
    <row r="759" spans="1:11" x14ac:dyDescent="0.25">
      <c r="A759" s="1">
        <v>2399017</v>
      </c>
      <c r="B759" s="1" t="s">
        <v>770</v>
      </c>
      <c r="D759" s="2">
        <v>0</v>
      </c>
      <c r="E759" s="2" t="s">
        <v>131</v>
      </c>
      <c r="F759" s="2" t="s">
        <v>42</v>
      </c>
      <c r="G759" s="1" t="s">
        <v>786</v>
      </c>
      <c r="H759" s="2">
        <v>1</v>
      </c>
      <c r="I759" s="2">
        <v>15</v>
      </c>
      <c r="K759" s="40">
        <v>0</v>
      </c>
    </row>
    <row r="760" spans="1:11" x14ac:dyDescent="0.25">
      <c r="A760" s="1">
        <v>2379199</v>
      </c>
      <c r="B760" s="1" t="s">
        <v>771</v>
      </c>
      <c r="D760" s="2">
        <v>0</v>
      </c>
      <c r="E760" s="2" t="s">
        <v>131</v>
      </c>
      <c r="F760" s="2" t="s">
        <v>42</v>
      </c>
      <c r="G760" s="1" t="s">
        <v>786</v>
      </c>
      <c r="H760" s="2">
        <v>1</v>
      </c>
      <c r="I760" s="2">
        <v>15</v>
      </c>
      <c r="K760" s="40">
        <v>0</v>
      </c>
    </row>
    <row r="761" spans="1:11" x14ac:dyDescent="0.25">
      <c r="A761" s="1">
        <v>2379202</v>
      </c>
      <c r="B761" s="1" t="s">
        <v>772</v>
      </c>
      <c r="D761" s="2">
        <v>0</v>
      </c>
      <c r="E761" s="2" t="s">
        <v>131</v>
      </c>
      <c r="F761" s="2" t="s">
        <v>42</v>
      </c>
      <c r="G761" s="1" t="s">
        <v>786</v>
      </c>
      <c r="H761" s="2">
        <v>1</v>
      </c>
      <c r="I761" s="2">
        <v>15</v>
      </c>
      <c r="K761" s="40">
        <v>0</v>
      </c>
    </row>
    <row r="762" spans="1:11" x14ac:dyDescent="0.25">
      <c r="A762" s="1">
        <v>2379201</v>
      </c>
      <c r="B762" s="1" t="s">
        <v>773</v>
      </c>
      <c r="D762" s="2">
        <v>0</v>
      </c>
      <c r="E762" s="2" t="s">
        <v>0</v>
      </c>
      <c r="F762" s="2" t="s">
        <v>42</v>
      </c>
      <c r="G762" s="1" t="s">
        <v>786</v>
      </c>
      <c r="H762" s="2">
        <v>1</v>
      </c>
      <c r="I762" s="2">
        <v>15</v>
      </c>
      <c r="K762" s="40">
        <v>0</v>
      </c>
    </row>
    <row r="763" spans="1:11" x14ac:dyDescent="0.25">
      <c r="A763" s="1">
        <v>2384151</v>
      </c>
      <c r="B763" s="1" t="s">
        <v>774</v>
      </c>
      <c r="D763" s="2">
        <v>0</v>
      </c>
      <c r="E763" s="2" t="s">
        <v>0</v>
      </c>
      <c r="F763" s="2" t="s">
        <v>42</v>
      </c>
      <c r="G763" s="1" t="s">
        <v>1968</v>
      </c>
      <c r="H763" s="2">
        <v>1</v>
      </c>
      <c r="I763" s="2">
        <v>15</v>
      </c>
      <c r="J763" s="15">
        <v>3723.84</v>
      </c>
      <c r="K763" s="40">
        <v>0</v>
      </c>
    </row>
    <row r="764" spans="1:11" x14ac:dyDescent="0.25">
      <c r="A764" s="1">
        <v>2384152</v>
      </c>
      <c r="B764" s="1" t="s">
        <v>775</v>
      </c>
      <c r="D764" s="2">
        <v>0</v>
      </c>
      <c r="E764" s="2" t="s">
        <v>0</v>
      </c>
      <c r="F764" s="2" t="s">
        <v>42</v>
      </c>
      <c r="G764" s="1" t="s">
        <v>1968</v>
      </c>
      <c r="H764" s="2">
        <v>1</v>
      </c>
      <c r="I764" s="2">
        <v>15</v>
      </c>
      <c r="J764" s="15">
        <v>3723.84</v>
      </c>
      <c r="K764" s="40">
        <v>0</v>
      </c>
    </row>
    <row r="765" spans="1:11" x14ac:dyDescent="0.25">
      <c r="A765" s="1">
        <v>2384153</v>
      </c>
      <c r="B765" s="1" t="s">
        <v>776</v>
      </c>
      <c r="D765" s="2">
        <v>0</v>
      </c>
      <c r="E765" s="2" t="s">
        <v>0</v>
      </c>
      <c r="F765" s="2" t="s">
        <v>42</v>
      </c>
      <c r="G765" s="1" t="s">
        <v>1968</v>
      </c>
      <c r="H765" s="2">
        <v>1</v>
      </c>
      <c r="I765" s="2">
        <v>15</v>
      </c>
      <c r="J765" s="15">
        <v>537.30999999999995</v>
      </c>
      <c r="K765" s="40">
        <v>0</v>
      </c>
    </row>
    <row r="766" spans="1:11" x14ac:dyDescent="0.25">
      <c r="A766" s="1">
        <v>2399144</v>
      </c>
      <c r="B766" s="1" t="s">
        <v>779</v>
      </c>
      <c r="D766" s="2">
        <v>0</v>
      </c>
      <c r="E766" s="2" t="s">
        <v>302</v>
      </c>
      <c r="F766" s="2" t="s">
        <v>40</v>
      </c>
      <c r="G766" s="1" t="s">
        <v>786</v>
      </c>
      <c r="H766" s="2">
        <v>1</v>
      </c>
      <c r="I766" s="2">
        <v>7</v>
      </c>
      <c r="K766" s="40">
        <v>0</v>
      </c>
    </row>
    <row r="767" spans="1:11" x14ac:dyDescent="0.25">
      <c r="A767" s="1">
        <v>2400165</v>
      </c>
      <c r="B767" s="1" t="s">
        <v>780</v>
      </c>
      <c r="D767" s="2">
        <v>0</v>
      </c>
      <c r="E767" s="2" t="s">
        <v>0</v>
      </c>
      <c r="F767" s="2" t="s">
        <v>43</v>
      </c>
      <c r="G767" s="1" t="s">
        <v>786</v>
      </c>
      <c r="H767" s="2">
        <v>1</v>
      </c>
      <c r="I767" s="2">
        <v>7</v>
      </c>
      <c r="K767" s="40">
        <v>0</v>
      </c>
    </row>
    <row r="768" spans="1:11" x14ac:dyDescent="0.25">
      <c r="A768" s="1">
        <v>2374339</v>
      </c>
      <c r="B768" s="1" t="s">
        <v>782</v>
      </c>
      <c r="D768" s="2">
        <v>0</v>
      </c>
      <c r="E768" s="2" t="s">
        <v>0</v>
      </c>
      <c r="F768" s="2" t="s">
        <v>42</v>
      </c>
      <c r="G768" s="1" t="s">
        <v>786</v>
      </c>
      <c r="H768" s="2">
        <v>1</v>
      </c>
      <c r="I768" s="2">
        <v>15</v>
      </c>
      <c r="K768" s="40">
        <v>0</v>
      </c>
    </row>
    <row r="769" spans="1:11" x14ac:dyDescent="0.25">
      <c r="A769" s="1">
        <v>1293705</v>
      </c>
      <c r="B769" s="1" t="s">
        <v>783</v>
      </c>
      <c r="D769" s="2">
        <v>0</v>
      </c>
      <c r="E769" s="2" t="s">
        <v>0</v>
      </c>
      <c r="F769" s="2" t="s">
        <v>42</v>
      </c>
      <c r="G769" s="1" t="s">
        <v>1968</v>
      </c>
      <c r="H769" s="2">
        <v>1</v>
      </c>
      <c r="I769" s="2">
        <v>15</v>
      </c>
      <c r="J769" s="15">
        <v>45.78</v>
      </c>
      <c r="K769" s="40">
        <v>0</v>
      </c>
    </row>
    <row r="770" spans="1:11" x14ac:dyDescent="0.25">
      <c r="A770" s="1">
        <v>1000107</v>
      </c>
      <c r="B770" s="1" t="s">
        <v>787</v>
      </c>
      <c r="D770" s="2">
        <v>0</v>
      </c>
      <c r="E770" s="2" t="s">
        <v>0</v>
      </c>
      <c r="G770" s="1" t="s">
        <v>786</v>
      </c>
      <c r="H770" s="2">
        <v>1</v>
      </c>
      <c r="K770" s="40">
        <v>0</v>
      </c>
    </row>
    <row r="771" spans="1:11" x14ac:dyDescent="0.25">
      <c r="A771" s="1">
        <v>1003517</v>
      </c>
      <c r="B771" s="1" t="s">
        <v>788</v>
      </c>
      <c r="D771" s="2">
        <v>0</v>
      </c>
      <c r="E771" s="2" t="s">
        <v>56</v>
      </c>
      <c r="G771" s="1" t="s">
        <v>1968</v>
      </c>
      <c r="H771" s="2">
        <v>1</v>
      </c>
      <c r="J771" s="15">
        <v>99.58</v>
      </c>
      <c r="K771" s="40">
        <v>0</v>
      </c>
    </row>
    <row r="772" spans="1:11" x14ac:dyDescent="0.25">
      <c r="A772" s="1">
        <v>1003518</v>
      </c>
      <c r="B772" s="1" t="s">
        <v>789</v>
      </c>
      <c r="D772" s="2">
        <v>0</v>
      </c>
      <c r="E772" s="2" t="s">
        <v>56</v>
      </c>
      <c r="G772" s="1" t="s">
        <v>1968</v>
      </c>
      <c r="H772" s="2">
        <v>1</v>
      </c>
      <c r="J772" s="15">
        <v>109.83</v>
      </c>
      <c r="K772" s="40">
        <v>0</v>
      </c>
    </row>
    <row r="773" spans="1:11" x14ac:dyDescent="0.25">
      <c r="A773" s="1">
        <v>1003519</v>
      </c>
      <c r="B773" s="1" t="s">
        <v>790</v>
      </c>
      <c r="D773" s="2">
        <v>0</v>
      </c>
      <c r="E773" s="2" t="s">
        <v>56</v>
      </c>
      <c r="G773" s="1" t="s">
        <v>1969</v>
      </c>
      <c r="H773" s="2">
        <v>1</v>
      </c>
      <c r="I773" s="2">
        <v>7</v>
      </c>
      <c r="J773" s="15">
        <v>95.19</v>
      </c>
      <c r="K773" s="40">
        <v>0</v>
      </c>
    </row>
    <row r="774" spans="1:11" x14ac:dyDescent="0.25">
      <c r="A774" s="1">
        <v>1003523</v>
      </c>
      <c r="B774" s="1" t="s">
        <v>791</v>
      </c>
      <c r="D774" s="2">
        <v>0</v>
      </c>
      <c r="E774" s="2" t="s">
        <v>56</v>
      </c>
      <c r="G774" s="1" t="s">
        <v>1969</v>
      </c>
      <c r="H774" s="2">
        <v>1</v>
      </c>
      <c r="I774" s="2">
        <v>5</v>
      </c>
      <c r="J774" s="15">
        <v>77.73</v>
      </c>
      <c r="K774" s="40">
        <v>0</v>
      </c>
    </row>
    <row r="775" spans="1:11" x14ac:dyDescent="0.25">
      <c r="A775" s="1">
        <v>1003530</v>
      </c>
      <c r="B775" s="1" t="s">
        <v>792</v>
      </c>
      <c r="D775" s="2">
        <v>0</v>
      </c>
      <c r="E775" s="2" t="s">
        <v>0</v>
      </c>
      <c r="G775" s="1" t="s">
        <v>1968</v>
      </c>
      <c r="H775" s="2">
        <v>5</v>
      </c>
      <c r="J775" s="15">
        <v>0.92</v>
      </c>
      <c r="K775" s="40">
        <v>0</v>
      </c>
    </row>
    <row r="776" spans="1:11" x14ac:dyDescent="0.25">
      <c r="A776" s="1">
        <v>1003546</v>
      </c>
      <c r="B776" s="1" t="s">
        <v>793</v>
      </c>
      <c r="D776" s="2">
        <v>0</v>
      </c>
      <c r="E776" s="2" t="s">
        <v>0</v>
      </c>
      <c r="G776" s="1" t="s">
        <v>1968</v>
      </c>
      <c r="H776" s="2">
        <v>1</v>
      </c>
      <c r="J776" s="15">
        <v>4.12</v>
      </c>
      <c r="K776" s="40">
        <v>0</v>
      </c>
    </row>
    <row r="777" spans="1:11" x14ac:dyDescent="0.25">
      <c r="A777" s="1">
        <v>1003551</v>
      </c>
      <c r="B777" s="1" t="s">
        <v>794</v>
      </c>
      <c r="D777" s="2">
        <v>0</v>
      </c>
      <c r="E777" s="2" t="s">
        <v>0</v>
      </c>
      <c r="G777" s="1" t="s">
        <v>1968</v>
      </c>
      <c r="H777" s="2">
        <v>1</v>
      </c>
      <c r="J777" s="15">
        <v>2.67</v>
      </c>
      <c r="K777" s="40">
        <v>0</v>
      </c>
    </row>
    <row r="778" spans="1:11" x14ac:dyDescent="0.25">
      <c r="A778" s="1">
        <v>1003636</v>
      </c>
      <c r="B778" s="1" t="s">
        <v>795</v>
      </c>
      <c r="D778" s="2">
        <v>0</v>
      </c>
      <c r="E778" s="2" t="s">
        <v>0</v>
      </c>
      <c r="G778" s="1" t="s">
        <v>1968</v>
      </c>
      <c r="H778" s="2">
        <v>1</v>
      </c>
      <c r="J778" s="15">
        <v>2.99</v>
      </c>
      <c r="K778" s="40">
        <v>0</v>
      </c>
    </row>
    <row r="779" spans="1:11" x14ac:dyDescent="0.25">
      <c r="A779" s="1">
        <v>1003637</v>
      </c>
      <c r="B779" s="1" t="s">
        <v>796</v>
      </c>
      <c r="D779" s="2">
        <v>0</v>
      </c>
      <c r="E779" s="2" t="s">
        <v>0</v>
      </c>
      <c r="G779" s="1" t="s">
        <v>1969</v>
      </c>
      <c r="H779" s="2">
        <v>1</v>
      </c>
      <c r="I779" s="2">
        <v>49</v>
      </c>
      <c r="J779" s="15">
        <v>18.68</v>
      </c>
      <c r="K779" s="40">
        <v>0</v>
      </c>
    </row>
    <row r="780" spans="1:11" x14ac:dyDescent="0.25">
      <c r="A780" s="1">
        <v>1003640</v>
      </c>
      <c r="B780" s="1" t="s">
        <v>797</v>
      </c>
      <c r="D780" s="2">
        <v>0</v>
      </c>
      <c r="E780" s="2" t="s">
        <v>131</v>
      </c>
      <c r="G780" s="1" t="s">
        <v>1969</v>
      </c>
      <c r="H780" s="2">
        <v>1</v>
      </c>
      <c r="I780" s="2">
        <v>7</v>
      </c>
      <c r="J780" s="15">
        <v>454.52</v>
      </c>
      <c r="K780" s="40">
        <v>0</v>
      </c>
    </row>
    <row r="781" spans="1:11" x14ac:dyDescent="0.25">
      <c r="A781" s="1">
        <v>1003642</v>
      </c>
      <c r="B781" s="1" t="s">
        <v>798</v>
      </c>
      <c r="D781" s="2">
        <v>0</v>
      </c>
      <c r="E781" s="2" t="s">
        <v>0</v>
      </c>
      <c r="G781" s="1" t="s">
        <v>1969</v>
      </c>
      <c r="H781" s="2">
        <v>1</v>
      </c>
      <c r="I781" s="2">
        <v>21</v>
      </c>
      <c r="J781" s="15">
        <v>1.53</v>
      </c>
      <c r="K781" s="40">
        <v>0</v>
      </c>
    </row>
    <row r="782" spans="1:11" x14ac:dyDescent="0.25">
      <c r="A782" s="1">
        <v>1003643</v>
      </c>
      <c r="B782" s="1" t="s">
        <v>799</v>
      </c>
      <c r="D782" s="2">
        <v>0</v>
      </c>
      <c r="E782" s="2" t="s">
        <v>0</v>
      </c>
      <c r="G782" s="1" t="s">
        <v>1969</v>
      </c>
      <c r="H782" s="2">
        <v>1</v>
      </c>
      <c r="I782" s="2">
        <v>7</v>
      </c>
      <c r="J782" s="15">
        <v>11.16</v>
      </c>
      <c r="K782" s="40">
        <v>0</v>
      </c>
    </row>
    <row r="783" spans="1:11" x14ac:dyDescent="0.25">
      <c r="A783" s="1">
        <v>1003647</v>
      </c>
      <c r="B783" s="1" t="s">
        <v>800</v>
      </c>
      <c r="D783" s="2">
        <v>0</v>
      </c>
      <c r="E783" s="2" t="s">
        <v>0</v>
      </c>
      <c r="G783" s="1" t="s">
        <v>1969</v>
      </c>
      <c r="H783" s="2">
        <v>1</v>
      </c>
      <c r="I783" s="2">
        <v>21</v>
      </c>
      <c r="J783" s="15">
        <v>25.74</v>
      </c>
      <c r="K783" s="40">
        <v>0</v>
      </c>
    </row>
    <row r="784" spans="1:11" x14ac:dyDescent="0.25">
      <c r="A784" s="1">
        <v>1003648</v>
      </c>
      <c r="B784" s="1" t="s">
        <v>801</v>
      </c>
      <c r="D784" s="2">
        <v>0</v>
      </c>
      <c r="E784" s="2" t="s">
        <v>0</v>
      </c>
      <c r="G784" s="1" t="s">
        <v>1969</v>
      </c>
      <c r="H784" s="2">
        <v>1</v>
      </c>
      <c r="I784" s="2">
        <v>42</v>
      </c>
      <c r="J784" s="15">
        <v>750.98</v>
      </c>
      <c r="K784" s="40">
        <v>0</v>
      </c>
    </row>
    <row r="785" spans="1:11" x14ac:dyDescent="0.25">
      <c r="A785" s="1">
        <v>1003649</v>
      </c>
      <c r="B785" s="1" t="s">
        <v>802</v>
      </c>
      <c r="D785" s="2">
        <v>0</v>
      </c>
      <c r="E785" s="2" t="s">
        <v>0</v>
      </c>
      <c r="G785" s="1" t="s">
        <v>1969</v>
      </c>
      <c r="H785" s="2">
        <v>1</v>
      </c>
      <c r="I785" s="2">
        <v>42</v>
      </c>
      <c r="J785" s="15">
        <v>1197.95</v>
      </c>
      <c r="K785" s="40">
        <v>0</v>
      </c>
    </row>
    <row r="786" spans="1:11" x14ac:dyDescent="0.25">
      <c r="A786" s="1">
        <v>1003651</v>
      </c>
      <c r="B786" s="1" t="s">
        <v>803</v>
      </c>
      <c r="D786" s="2">
        <v>0</v>
      </c>
      <c r="E786" s="2" t="s">
        <v>0</v>
      </c>
      <c r="G786" s="1" t="s">
        <v>1969</v>
      </c>
      <c r="H786" s="2">
        <v>1</v>
      </c>
      <c r="I786" s="2">
        <v>42</v>
      </c>
      <c r="J786" s="15">
        <v>2218.36</v>
      </c>
      <c r="K786" s="40">
        <v>0</v>
      </c>
    </row>
    <row r="787" spans="1:11" x14ac:dyDescent="0.25">
      <c r="A787" s="1">
        <v>1003720</v>
      </c>
      <c r="B787" s="1" t="s">
        <v>804</v>
      </c>
      <c r="D787" s="2">
        <v>0</v>
      </c>
      <c r="E787" s="2" t="s">
        <v>0</v>
      </c>
      <c r="G787" s="1" t="s">
        <v>1968</v>
      </c>
      <c r="H787" s="2">
        <v>1</v>
      </c>
      <c r="J787" s="15">
        <v>1.73</v>
      </c>
      <c r="K787" s="40">
        <v>0</v>
      </c>
    </row>
    <row r="788" spans="1:11" x14ac:dyDescent="0.25">
      <c r="A788" s="1">
        <v>1003731</v>
      </c>
      <c r="B788" s="1" t="s">
        <v>805</v>
      </c>
      <c r="D788" s="2">
        <v>0</v>
      </c>
      <c r="E788" s="2" t="s">
        <v>302</v>
      </c>
      <c r="G788" s="1" t="s">
        <v>786</v>
      </c>
      <c r="H788" s="2">
        <v>1</v>
      </c>
      <c r="J788" s="15">
        <v>4.43</v>
      </c>
      <c r="K788" s="40">
        <v>0</v>
      </c>
    </row>
    <row r="789" spans="1:11" x14ac:dyDescent="0.25">
      <c r="A789" s="1">
        <v>1003741</v>
      </c>
      <c r="B789" s="1" t="s">
        <v>806</v>
      </c>
      <c r="D789" s="2">
        <v>0</v>
      </c>
      <c r="E789" s="2" t="s">
        <v>85</v>
      </c>
      <c r="G789" s="1" t="s">
        <v>1968</v>
      </c>
      <c r="H789" s="2">
        <v>1</v>
      </c>
      <c r="J789" s="15">
        <v>146.63999999999999</v>
      </c>
      <c r="K789" s="40">
        <v>0</v>
      </c>
    </row>
    <row r="790" spans="1:11" x14ac:dyDescent="0.25">
      <c r="A790" s="1">
        <v>1003742</v>
      </c>
      <c r="B790" s="1" t="s">
        <v>807</v>
      </c>
      <c r="D790" s="2">
        <v>0</v>
      </c>
      <c r="E790" s="2" t="s">
        <v>0</v>
      </c>
      <c r="G790" s="1" t="s">
        <v>786</v>
      </c>
      <c r="H790" s="2">
        <v>1</v>
      </c>
      <c r="J790" s="15">
        <v>32.24</v>
      </c>
      <c r="K790" s="40">
        <v>0</v>
      </c>
    </row>
    <row r="791" spans="1:11" x14ac:dyDescent="0.25">
      <c r="A791" s="1">
        <v>1003747</v>
      </c>
      <c r="B791" s="1" t="s">
        <v>808</v>
      </c>
      <c r="D791" s="2">
        <v>0</v>
      </c>
      <c r="E791" s="2" t="s">
        <v>0</v>
      </c>
      <c r="G791" s="1" t="s">
        <v>1968</v>
      </c>
      <c r="H791" s="2">
        <v>1</v>
      </c>
      <c r="J791" s="15">
        <v>13.23</v>
      </c>
      <c r="K791" s="40">
        <v>0</v>
      </c>
    </row>
    <row r="792" spans="1:11" x14ac:dyDescent="0.25">
      <c r="A792" s="1">
        <v>1003872</v>
      </c>
      <c r="B792" s="1" t="s">
        <v>809</v>
      </c>
      <c r="D792" s="2">
        <v>0</v>
      </c>
      <c r="E792" s="2" t="s">
        <v>0</v>
      </c>
      <c r="G792" s="1" t="s">
        <v>1969</v>
      </c>
      <c r="H792" s="2">
        <v>1</v>
      </c>
      <c r="I792" s="2">
        <v>7</v>
      </c>
      <c r="J792" s="15">
        <v>4.13</v>
      </c>
      <c r="K792" s="40">
        <v>0</v>
      </c>
    </row>
    <row r="793" spans="1:11" x14ac:dyDescent="0.25">
      <c r="A793" s="1">
        <v>1003880</v>
      </c>
      <c r="B793" s="1" t="s">
        <v>810</v>
      </c>
      <c r="D793" s="2">
        <v>0</v>
      </c>
      <c r="E793" s="2" t="s">
        <v>0</v>
      </c>
      <c r="G793" s="1" t="s">
        <v>1968</v>
      </c>
      <c r="H793" s="2">
        <v>1</v>
      </c>
      <c r="J793" s="15">
        <v>0.79</v>
      </c>
      <c r="K793" s="40">
        <v>0</v>
      </c>
    </row>
    <row r="794" spans="1:11" x14ac:dyDescent="0.25">
      <c r="A794" s="1">
        <v>1003892</v>
      </c>
      <c r="B794" s="1" t="s">
        <v>811</v>
      </c>
      <c r="D794" s="2">
        <v>0</v>
      </c>
      <c r="E794" s="2" t="s">
        <v>302</v>
      </c>
      <c r="G794" s="1" t="s">
        <v>786</v>
      </c>
      <c r="H794" s="2">
        <v>1</v>
      </c>
      <c r="J794" s="15">
        <v>13.79</v>
      </c>
      <c r="K794" s="40">
        <v>0</v>
      </c>
    </row>
    <row r="795" spans="1:11" x14ac:dyDescent="0.25">
      <c r="A795" s="1">
        <v>1003894</v>
      </c>
      <c r="B795" s="1" t="s">
        <v>812</v>
      </c>
      <c r="D795" s="2">
        <v>0</v>
      </c>
      <c r="E795" s="2" t="s">
        <v>302</v>
      </c>
      <c r="G795" s="1" t="s">
        <v>786</v>
      </c>
      <c r="H795" s="2">
        <v>1</v>
      </c>
      <c r="J795" s="15">
        <v>10.41</v>
      </c>
      <c r="K795" s="40">
        <v>0</v>
      </c>
    </row>
    <row r="796" spans="1:11" x14ac:dyDescent="0.25">
      <c r="A796" s="1">
        <v>1003895</v>
      </c>
      <c r="B796" s="1" t="s">
        <v>813</v>
      </c>
      <c r="D796" s="2">
        <v>0</v>
      </c>
      <c r="E796" s="2" t="s">
        <v>302</v>
      </c>
      <c r="G796" s="1" t="s">
        <v>786</v>
      </c>
      <c r="H796" s="2">
        <v>1</v>
      </c>
      <c r="I796" s="2">
        <v>7</v>
      </c>
      <c r="J796" s="15">
        <v>1.01</v>
      </c>
      <c r="K796" s="40">
        <v>0</v>
      </c>
    </row>
    <row r="797" spans="1:11" x14ac:dyDescent="0.25">
      <c r="A797" s="1">
        <v>1003897</v>
      </c>
      <c r="B797" s="1" t="s">
        <v>814</v>
      </c>
      <c r="D797" s="2">
        <v>0</v>
      </c>
      <c r="E797" s="2" t="s">
        <v>302</v>
      </c>
      <c r="G797" s="1" t="s">
        <v>786</v>
      </c>
      <c r="H797" s="2">
        <v>1</v>
      </c>
      <c r="J797" s="15">
        <v>1.01</v>
      </c>
      <c r="K797" s="40">
        <v>0</v>
      </c>
    </row>
    <row r="798" spans="1:11" x14ac:dyDescent="0.25">
      <c r="A798" s="1">
        <v>1003917</v>
      </c>
      <c r="B798" s="1" t="s">
        <v>815</v>
      </c>
      <c r="D798" s="2">
        <v>0</v>
      </c>
      <c r="E798" s="2" t="s">
        <v>0</v>
      </c>
      <c r="G798" s="1" t="s">
        <v>1968</v>
      </c>
      <c r="H798" s="2">
        <v>50</v>
      </c>
      <c r="J798" s="15">
        <v>0.09</v>
      </c>
      <c r="K798" s="40">
        <v>0</v>
      </c>
    </row>
    <row r="799" spans="1:11" x14ac:dyDescent="0.25">
      <c r="A799" s="1">
        <v>1003918</v>
      </c>
      <c r="B799" s="1" t="s">
        <v>816</v>
      </c>
      <c r="D799" s="2">
        <v>0</v>
      </c>
      <c r="E799" s="2" t="s">
        <v>0</v>
      </c>
      <c r="G799" s="1" t="s">
        <v>1968</v>
      </c>
      <c r="H799" s="2">
        <v>50</v>
      </c>
      <c r="J799" s="15">
        <v>0.09</v>
      </c>
      <c r="K799" s="40">
        <v>0</v>
      </c>
    </row>
    <row r="800" spans="1:11" x14ac:dyDescent="0.25">
      <c r="A800" s="1">
        <v>1003919</v>
      </c>
      <c r="B800" s="1" t="s">
        <v>817</v>
      </c>
      <c r="D800" s="2">
        <v>0</v>
      </c>
      <c r="E800" s="2" t="s">
        <v>131</v>
      </c>
      <c r="G800" s="1" t="s">
        <v>1968</v>
      </c>
      <c r="H800" s="2">
        <v>1</v>
      </c>
      <c r="J800" s="15">
        <v>4.05</v>
      </c>
      <c r="K800" s="40">
        <v>0</v>
      </c>
    </row>
    <row r="801" spans="1:11" x14ac:dyDescent="0.25">
      <c r="A801" s="1">
        <v>1003920</v>
      </c>
      <c r="B801" s="1" t="s">
        <v>818</v>
      </c>
      <c r="D801" s="2">
        <v>0</v>
      </c>
      <c r="E801" s="2" t="s">
        <v>0</v>
      </c>
      <c r="G801" s="1" t="s">
        <v>1968</v>
      </c>
      <c r="H801" s="2">
        <v>50</v>
      </c>
      <c r="J801" s="15">
        <v>0.09</v>
      </c>
      <c r="K801" s="40">
        <v>0</v>
      </c>
    </row>
    <row r="802" spans="1:11" x14ac:dyDescent="0.25">
      <c r="A802" s="1">
        <v>1003921</v>
      </c>
      <c r="B802" s="1" t="s">
        <v>819</v>
      </c>
      <c r="D802" s="2">
        <v>0</v>
      </c>
      <c r="E802" s="2" t="s">
        <v>131</v>
      </c>
      <c r="G802" s="1" t="s">
        <v>1968</v>
      </c>
      <c r="H802" s="2">
        <v>1</v>
      </c>
      <c r="J802" s="15">
        <v>4.05</v>
      </c>
      <c r="K802" s="40">
        <v>0</v>
      </c>
    </row>
    <row r="803" spans="1:11" x14ac:dyDescent="0.25">
      <c r="A803" s="1">
        <v>1003922</v>
      </c>
      <c r="B803" s="1" t="s">
        <v>820</v>
      </c>
      <c r="D803" s="2">
        <v>0</v>
      </c>
      <c r="E803" s="2" t="s">
        <v>0</v>
      </c>
      <c r="G803" s="1" t="s">
        <v>1968</v>
      </c>
      <c r="H803" s="2">
        <v>50</v>
      </c>
      <c r="J803" s="15">
        <v>0.09</v>
      </c>
      <c r="K803" s="40">
        <v>0</v>
      </c>
    </row>
    <row r="804" spans="1:11" x14ac:dyDescent="0.25">
      <c r="A804" s="1">
        <v>1003923</v>
      </c>
      <c r="B804" s="1" t="s">
        <v>821</v>
      </c>
      <c r="D804" s="2">
        <v>0</v>
      </c>
      <c r="E804" s="2" t="s">
        <v>0</v>
      </c>
      <c r="G804" s="1" t="s">
        <v>1968</v>
      </c>
      <c r="H804" s="2">
        <v>50</v>
      </c>
      <c r="J804" s="15">
        <v>0.09</v>
      </c>
      <c r="K804" s="40">
        <v>0</v>
      </c>
    </row>
    <row r="805" spans="1:11" x14ac:dyDescent="0.25">
      <c r="A805" s="1">
        <v>1003924</v>
      </c>
      <c r="B805" s="1" t="s">
        <v>822</v>
      </c>
      <c r="D805" s="2">
        <v>0</v>
      </c>
      <c r="E805" s="2" t="s">
        <v>0</v>
      </c>
      <c r="G805" s="1" t="s">
        <v>1969</v>
      </c>
      <c r="H805" s="2">
        <v>50</v>
      </c>
      <c r="I805" s="2">
        <v>7</v>
      </c>
      <c r="J805" s="15">
        <v>0.09</v>
      </c>
      <c r="K805" s="40">
        <v>0</v>
      </c>
    </row>
    <row r="806" spans="1:11" x14ac:dyDescent="0.25">
      <c r="A806" s="1">
        <v>1003925</v>
      </c>
      <c r="B806" s="1" t="s">
        <v>823</v>
      </c>
      <c r="D806" s="2">
        <v>0</v>
      </c>
      <c r="E806" s="2" t="s">
        <v>0</v>
      </c>
      <c r="G806" s="1" t="s">
        <v>1969</v>
      </c>
      <c r="H806" s="2">
        <v>50</v>
      </c>
      <c r="I806" s="2">
        <v>7</v>
      </c>
      <c r="J806" s="15">
        <v>0.09</v>
      </c>
      <c r="K806" s="40">
        <v>0</v>
      </c>
    </row>
    <row r="807" spans="1:11" x14ac:dyDescent="0.25">
      <c r="A807" s="1">
        <v>1003926</v>
      </c>
      <c r="B807" s="1" t="s">
        <v>824</v>
      </c>
      <c r="D807" s="2">
        <v>0</v>
      </c>
      <c r="E807" s="2" t="s">
        <v>0</v>
      </c>
      <c r="G807" s="1" t="s">
        <v>1969</v>
      </c>
      <c r="H807" s="2">
        <v>50</v>
      </c>
      <c r="I807" s="2">
        <v>7</v>
      </c>
      <c r="J807" s="15">
        <v>0.09</v>
      </c>
      <c r="K807" s="40">
        <v>0</v>
      </c>
    </row>
    <row r="808" spans="1:11" x14ac:dyDescent="0.25">
      <c r="A808" s="1">
        <v>1003927</v>
      </c>
      <c r="B808" s="1" t="s">
        <v>825</v>
      </c>
      <c r="D808" s="2">
        <v>0</v>
      </c>
      <c r="E808" s="2" t="s">
        <v>0</v>
      </c>
      <c r="G808" s="1" t="s">
        <v>1969</v>
      </c>
      <c r="H808" s="2">
        <v>50</v>
      </c>
      <c r="I808" s="2">
        <v>7</v>
      </c>
      <c r="J808" s="15">
        <v>0.09</v>
      </c>
      <c r="K808" s="40">
        <v>0</v>
      </c>
    </row>
    <row r="809" spans="1:11" x14ac:dyDescent="0.25">
      <c r="A809" s="1">
        <v>1003928</v>
      </c>
      <c r="B809" s="1" t="s">
        <v>826</v>
      </c>
      <c r="D809" s="2">
        <v>0</v>
      </c>
      <c r="E809" s="2" t="s">
        <v>0</v>
      </c>
      <c r="G809" s="1" t="s">
        <v>1969</v>
      </c>
      <c r="H809" s="2">
        <v>50</v>
      </c>
      <c r="I809" s="2">
        <v>7</v>
      </c>
      <c r="J809" s="15">
        <v>0.09</v>
      </c>
      <c r="K809" s="40">
        <v>0</v>
      </c>
    </row>
    <row r="810" spans="1:11" x14ac:dyDescent="0.25">
      <c r="A810" s="1">
        <v>1003929</v>
      </c>
      <c r="B810" s="1" t="s">
        <v>827</v>
      </c>
      <c r="D810" s="2">
        <v>0</v>
      </c>
      <c r="E810" s="2" t="s">
        <v>0</v>
      </c>
      <c r="G810" s="1" t="s">
        <v>1969</v>
      </c>
      <c r="H810" s="2">
        <v>50</v>
      </c>
      <c r="I810" s="2">
        <v>7</v>
      </c>
      <c r="J810" s="15">
        <v>0.09</v>
      </c>
      <c r="K810" s="40">
        <v>0</v>
      </c>
    </row>
    <row r="811" spans="1:11" x14ac:dyDescent="0.25">
      <c r="A811" s="1">
        <v>1003930</v>
      </c>
      <c r="B811" s="1" t="s">
        <v>828</v>
      </c>
      <c r="D811" s="2">
        <v>0</v>
      </c>
      <c r="E811" s="2" t="s">
        <v>0</v>
      </c>
      <c r="G811" s="1" t="s">
        <v>1969</v>
      </c>
      <c r="H811" s="2">
        <v>50</v>
      </c>
      <c r="I811" s="2">
        <v>7</v>
      </c>
      <c r="J811" s="15">
        <v>0.09</v>
      </c>
      <c r="K811" s="40">
        <v>0</v>
      </c>
    </row>
    <row r="812" spans="1:11" x14ac:dyDescent="0.25">
      <c r="A812" s="1">
        <v>1003931</v>
      </c>
      <c r="B812" s="1" t="s">
        <v>829</v>
      </c>
      <c r="D812" s="2">
        <v>0</v>
      </c>
      <c r="E812" s="2" t="s">
        <v>0</v>
      </c>
      <c r="G812" s="1" t="s">
        <v>1969</v>
      </c>
      <c r="H812" s="2">
        <v>50</v>
      </c>
      <c r="I812" s="2">
        <v>7</v>
      </c>
      <c r="J812" s="15">
        <v>0.09</v>
      </c>
      <c r="K812" s="40">
        <v>0</v>
      </c>
    </row>
    <row r="813" spans="1:11" x14ac:dyDescent="0.25">
      <c r="A813" s="1">
        <v>1003932</v>
      </c>
      <c r="B813" s="1" t="s">
        <v>830</v>
      </c>
      <c r="D813" s="2">
        <v>0</v>
      </c>
      <c r="E813" s="2" t="s">
        <v>0</v>
      </c>
      <c r="G813" s="1" t="s">
        <v>1969</v>
      </c>
      <c r="H813" s="2">
        <v>50</v>
      </c>
      <c r="I813" s="2">
        <v>7</v>
      </c>
      <c r="J813" s="15">
        <v>0.09</v>
      </c>
      <c r="K813" s="40">
        <v>0</v>
      </c>
    </row>
    <row r="814" spans="1:11" x14ac:dyDescent="0.25">
      <c r="A814" s="1">
        <v>1003933</v>
      </c>
      <c r="B814" s="1" t="s">
        <v>831</v>
      </c>
      <c r="D814" s="2">
        <v>0</v>
      </c>
      <c r="E814" s="2" t="s">
        <v>0</v>
      </c>
      <c r="G814" s="1" t="s">
        <v>1969</v>
      </c>
      <c r="H814" s="2">
        <v>50</v>
      </c>
      <c r="I814" s="2">
        <v>7</v>
      </c>
      <c r="J814" s="15">
        <v>0.09</v>
      </c>
      <c r="K814" s="40">
        <v>0</v>
      </c>
    </row>
    <row r="815" spans="1:11" x14ac:dyDescent="0.25">
      <c r="A815" s="1">
        <v>1003934</v>
      </c>
      <c r="B815" s="1" t="s">
        <v>832</v>
      </c>
      <c r="D815" s="2">
        <v>0</v>
      </c>
      <c r="E815" s="2" t="s">
        <v>0</v>
      </c>
      <c r="G815" s="1" t="s">
        <v>1969</v>
      </c>
      <c r="H815" s="2">
        <v>50</v>
      </c>
      <c r="I815" s="2">
        <v>7</v>
      </c>
      <c r="J815" s="15">
        <v>0.09</v>
      </c>
      <c r="K815" s="40">
        <v>0</v>
      </c>
    </row>
    <row r="816" spans="1:11" x14ac:dyDescent="0.25">
      <c r="A816" s="1">
        <v>1003935</v>
      </c>
      <c r="B816" s="1" t="s">
        <v>833</v>
      </c>
      <c r="D816" s="2">
        <v>0</v>
      </c>
      <c r="E816" s="2" t="s">
        <v>0</v>
      </c>
      <c r="G816" s="1" t="s">
        <v>1969</v>
      </c>
      <c r="H816" s="2">
        <v>50</v>
      </c>
      <c r="I816" s="2">
        <v>7</v>
      </c>
      <c r="J816" s="15">
        <v>0.09</v>
      </c>
      <c r="K816" s="40">
        <v>0</v>
      </c>
    </row>
    <row r="817" spans="1:11" x14ac:dyDescent="0.25">
      <c r="A817" s="1">
        <v>1003936</v>
      </c>
      <c r="B817" s="1" t="s">
        <v>834</v>
      </c>
      <c r="D817" s="2">
        <v>0</v>
      </c>
      <c r="E817" s="2" t="s">
        <v>0</v>
      </c>
      <c r="G817" s="1" t="s">
        <v>1969</v>
      </c>
      <c r="H817" s="2">
        <v>50</v>
      </c>
      <c r="I817" s="2">
        <v>7</v>
      </c>
      <c r="J817" s="15">
        <v>0.09</v>
      </c>
      <c r="K817" s="40">
        <v>0</v>
      </c>
    </row>
    <row r="818" spans="1:11" x14ac:dyDescent="0.25">
      <c r="A818" s="1">
        <v>1003937</v>
      </c>
      <c r="B818" s="1" t="s">
        <v>835</v>
      </c>
      <c r="D818" s="2">
        <v>0</v>
      </c>
      <c r="E818" s="2" t="s">
        <v>0</v>
      </c>
      <c r="G818" s="1" t="s">
        <v>1969</v>
      </c>
      <c r="H818" s="2">
        <v>50</v>
      </c>
      <c r="I818" s="2">
        <v>7</v>
      </c>
      <c r="J818" s="15">
        <v>0.09</v>
      </c>
      <c r="K818" s="40">
        <v>0</v>
      </c>
    </row>
    <row r="819" spans="1:11" x14ac:dyDescent="0.25">
      <c r="A819" s="1">
        <v>1003938</v>
      </c>
      <c r="B819" s="1" t="s">
        <v>836</v>
      </c>
      <c r="D819" s="2">
        <v>0</v>
      </c>
      <c r="E819" s="2" t="s">
        <v>0</v>
      </c>
      <c r="G819" s="1" t="s">
        <v>1969</v>
      </c>
      <c r="H819" s="2">
        <v>50</v>
      </c>
      <c r="I819" s="2">
        <v>7</v>
      </c>
      <c r="J819" s="15">
        <v>0.09</v>
      </c>
      <c r="K819" s="40">
        <v>0</v>
      </c>
    </row>
    <row r="820" spans="1:11" x14ac:dyDescent="0.25">
      <c r="A820" s="1">
        <v>1003939</v>
      </c>
      <c r="B820" s="1" t="s">
        <v>837</v>
      </c>
      <c r="D820" s="2">
        <v>0</v>
      </c>
      <c r="E820" s="2" t="s">
        <v>0</v>
      </c>
      <c r="G820" s="1" t="s">
        <v>1969</v>
      </c>
      <c r="H820" s="2">
        <v>50</v>
      </c>
      <c r="I820" s="2">
        <v>7</v>
      </c>
      <c r="J820" s="15">
        <v>0.09</v>
      </c>
      <c r="K820" s="40">
        <v>0</v>
      </c>
    </row>
    <row r="821" spans="1:11" x14ac:dyDescent="0.25">
      <c r="A821" s="1">
        <v>1003940</v>
      </c>
      <c r="B821" s="1" t="s">
        <v>838</v>
      </c>
      <c r="D821" s="2">
        <v>0</v>
      </c>
      <c r="E821" s="2" t="s">
        <v>0</v>
      </c>
      <c r="G821" s="1" t="s">
        <v>1968</v>
      </c>
      <c r="H821" s="2">
        <v>50</v>
      </c>
      <c r="J821" s="15">
        <v>0.09</v>
      </c>
      <c r="K821" s="40">
        <v>0</v>
      </c>
    </row>
    <row r="822" spans="1:11" x14ac:dyDescent="0.25">
      <c r="A822" s="1">
        <v>1003948</v>
      </c>
      <c r="B822" s="1" t="s">
        <v>839</v>
      </c>
      <c r="D822" s="2">
        <v>0</v>
      </c>
      <c r="E822" s="2" t="s">
        <v>131</v>
      </c>
      <c r="G822" s="1" t="s">
        <v>786</v>
      </c>
      <c r="H822" s="2">
        <v>1</v>
      </c>
      <c r="J822" s="15">
        <v>13.22</v>
      </c>
      <c r="K822" s="40">
        <v>0</v>
      </c>
    </row>
    <row r="823" spans="1:11" x14ac:dyDescent="0.25">
      <c r="A823" s="1">
        <v>1003950</v>
      </c>
      <c r="B823" s="1" t="s">
        <v>840</v>
      </c>
      <c r="D823" s="2">
        <v>0</v>
      </c>
      <c r="E823" s="2" t="s">
        <v>302</v>
      </c>
      <c r="G823" s="1" t="s">
        <v>786</v>
      </c>
      <c r="H823" s="2">
        <v>1</v>
      </c>
      <c r="I823" s="2">
        <v>7</v>
      </c>
      <c r="J823" s="15">
        <v>6.23</v>
      </c>
      <c r="K823" s="40">
        <v>0</v>
      </c>
    </row>
    <row r="824" spans="1:11" x14ac:dyDescent="0.25">
      <c r="A824" s="1">
        <v>1003961</v>
      </c>
      <c r="B824" s="1" t="s">
        <v>841</v>
      </c>
      <c r="D824" s="2">
        <v>0</v>
      </c>
      <c r="E824" s="2" t="s">
        <v>1899</v>
      </c>
      <c r="G824" s="1" t="s">
        <v>1968</v>
      </c>
      <c r="H824" s="2">
        <v>1</v>
      </c>
      <c r="J824" s="15">
        <v>68.08</v>
      </c>
      <c r="K824" s="40">
        <v>0</v>
      </c>
    </row>
    <row r="825" spans="1:11" x14ac:dyDescent="0.25">
      <c r="A825" s="1">
        <v>1003993</v>
      </c>
      <c r="B825" s="1" t="s">
        <v>842</v>
      </c>
      <c r="D825" s="2">
        <v>0</v>
      </c>
      <c r="E825" s="2" t="s">
        <v>0</v>
      </c>
      <c r="G825" s="1" t="s">
        <v>1968</v>
      </c>
      <c r="H825" s="2">
        <v>1</v>
      </c>
      <c r="J825" s="15">
        <v>11.16</v>
      </c>
      <c r="K825" s="40">
        <v>0</v>
      </c>
    </row>
    <row r="826" spans="1:11" x14ac:dyDescent="0.25">
      <c r="A826" s="1">
        <v>1004054</v>
      </c>
      <c r="B826" s="1" t="s">
        <v>843</v>
      </c>
      <c r="D826" s="2">
        <v>0</v>
      </c>
      <c r="E826" s="2" t="s">
        <v>0</v>
      </c>
      <c r="G826" s="1" t="s">
        <v>1968</v>
      </c>
      <c r="H826" s="2">
        <v>1</v>
      </c>
      <c r="J826" s="15">
        <v>35.520000000000003</v>
      </c>
      <c r="K826" s="40">
        <v>0</v>
      </c>
    </row>
    <row r="827" spans="1:11" x14ac:dyDescent="0.25">
      <c r="A827" s="1">
        <v>1004056</v>
      </c>
      <c r="B827" s="1" t="s">
        <v>844</v>
      </c>
      <c r="D827" s="2">
        <v>0</v>
      </c>
      <c r="E827" s="2" t="s">
        <v>0</v>
      </c>
      <c r="G827" s="1" t="s">
        <v>1968</v>
      </c>
      <c r="H827" s="2">
        <v>1</v>
      </c>
      <c r="J827" s="15">
        <v>19.43</v>
      </c>
      <c r="K827" s="40">
        <v>0</v>
      </c>
    </row>
    <row r="828" spans="1:11" x14ac:dyDescent="0.25">
      <c r="A828" s="1">
        <v>1004406</v>
      </c>
      <c r="B828" s="1" t="s">
        <v>845</v>
      </c>
      <c r="D828" s="2">
        <v>0</v>
      </c>
      <c r="E828" s="2" t="s">
        <v>0</v>
      </c>
      <c r="G828" s="1" t="s">
        <v>1969</v>
      </c>
      <c r="H828" s="2">
        <v>1</v>
      </c>
      <c r="I828" s="2">
        <v>63</v>
      </c>
      <c r="J828" s="15">
        <v>90.6</v>
      </c>
      <c r="K828" s="40">
        <v>0</v>
      </c>
    </row>
    <row r="829" spans="1:11" x14ac:dyDescent="0.25">
      <c r="A829" s="1">
        <v>1005733</v>
      </c>
      <c r="B829" s="1" t="s">
        <v>846</v>
      </c>
      <c r="D829" s="2">
        <v>0</v>
      </c>
      <c r="E829" s="2" t="s">
        <v>131</v>
      </c>
      <c r="G829" s="1" t="s">
        <v>786</v>
      </c>
      <c r="H829" s="2">
        <v>1</v>
      </c>
      <c r="J829" s="15">
        <v>110.13</v>
      </c>
      <c r="K829" s="40">
        <v>0</v>
      </c>
    </row>
    <row r="830" spans="1:11" x14ac:dyDescent="0.25">
      <c r="A830" s="1">
        <v>1005890</v>
      </c>
      <c r="B830" s="1" t="s">
        <v>847</v>
      </c>
      <c r="D830" s="2">
        <v>0</v>
      </c>
      <c r="E830" s="2" t="s">
        <v>56</v>
      </c>
      <c r="G830" s="1" t="s">
        <v>786</v>
      </c>
      <c r="H830" s="2">
        <v>1</v>
      </c>
      <c r="I830" s="2">
        <v>14</v>
      </c>
      <c r="J830" s="15">
        <v>2.65</v>
      </c>
      <c r="K830" s="40">
        <v>0</v>
      </c>
    </row>
    <row r="831" spans="1:11" x14ac:dyDescent="0.25">
      <c r="A831" s="1">
        <v>1005955</v>
      </c>
      <c r="B831" s="1" t="s">
        <v>848</v>
      </c>
      <c r="D831" s="2">
        <v>0</v>
      </c>
      <c r="E831" s="2" t="s">
        <v>131</v>
      </c>
      <c r="G831" s="1" t="s">
        <v>1969</v>
      </c>
      <c r="H831" s="2">
        <v>1</v>
      </c>
      <c r="I831" s="2">
        <v>14</v>
      </c>
      <c r="J831" s="15">
        <v>1.34</v>
      </c>
      <c r="K831" s="40">
        <v>0</v>
      </c>
    </row>
    <row r="832" spans="1:11" x14ac:dyDescent="0.25">
      <c r="A832" s="1">
        <v>1005959</v>
      </c>
      <c r="B832" s="1" t="s">
        <v>849</v>
      </c>
      <c r="D832" s="2">
        <v>0</v>
      </c>
      <c r="E832" s="2" t="s">
        <v>131</v>
      </c>
      <c r="G832" s="1" t="s">
        <v>1969</v>
      </c>
      <c r="H832" s="2">
        <v>1</v>
      </c>
      <c r="I832" s="2">
        <v>21</v>
      </c>
      <c r="J832" s="15">
        <v>1.34</v>
      </c>
      <c r="K832" s="40">
        <v>0</v>
      </c>
    </row>
    <row r="833" spans="1:11" x14ac:dyDescent="0.25">
      <c r="A833" s="1">
        <v>1006044</v>
      </c>
      <c r="B833" s="1" t="s">
        <v>850</v>
      </c>
      <c r="D833" s="2">
        <v>0</v>
      </c>
      <c r="E833" s="2" t="s">
        <v>0</v>
      </c>
      <c r="G833" s="1" t="s">
        <v>1969</v>
      </c>
      <c r="H833" s="2">
        <v>1</v>
      </c>
      <c r="I833" s="2">
        <v>28</v>
      </c>
      <c r="J833" s="15">
        <v>8.8800000000000008</v>
      </c>
      <c r="K833" s="40">
        <v>0</v>
      </c>
    </row>
    <row r="834" spans="1:11" x14ac:dyDescent="0.25">
      <c r="A834" s="1">
        <v>1006435</v>
      </c>
      <c r="B834" s="1" t="s">
        <v>851</v>
      </c>
      <c r="D834" s="2">
        <v>0</v>
      </c>
      <c r="E834" s="2" t="s">
        <v>0</v>
      </c>
      <c r="G834" s="1" t="s">
        <v>1969</v>
      </c>
      <c r="H834" s="2">
        <v>1</v>
      </c>
      <c r="I834" s="2">
        <v>14</v>
      </c>
      <c r="J834" s="15">
        <v>5.86</v>
      </c>
      <c r="K834" s="40">
        <v>0</v>
      </c>
    </row>
    <row r="835" spans="1:11" x14ac:dyDescent="0.25">
      <c r="A835" s="1">
        <v>1007169</v>
      </c>
      <c r="B835" s="1" t="s">
        <v>852</v>
      </c>
      <c r="D835" s="2">
        <v>0</v>
      </c>
      <c r="E835" s="2" t="s">
        <v>0</v>
      </c>
      <c r="G835" s="1" t="s">
        <v>1969</v>
      </c>
      <c r="H835" s="2">
        <v>1</v>
      </c>
      <c r="I835" s="2">
        <v>28</v>
      </c>
      <c r="J835" s="15">
        <v>6.72</v>
      </c>
      <c r="K835" s="40">
        <v>0</v>
      </c>
    </row>
    <row r="836" spans="1:11" x14ac:dyDescent="0.25">
      <c r="A836" s="1">
        <v>1007210</v>
      </c>
      <c r="B836" s="1" t="s">
        <v>853</v>
      </c>
      <c r="D836" s="2">
        <v>0</v>
      </c>
      <c r="E836" s="2" t="s">
        <v>0</v>
      </c>
      <c r="G836" s="1" t="s">
        <v>1968</v>
      </c>
      <c r="H836" s="2">
        <v>1</v>
      </c>
      <c r="J836" s="15">
        <v>36.94</v>
      </c>
      <c r="K836" s="40">
        <v>0</v>
      </c>
    </row>
    <row r="837" spans="1:11" x14ac:dyDescent="0.25">
      <c r="A837" s="1">
        <v>1007211</v>
      </c>
      <c r="B837" s="1" t="s">
        <v>854</v>
      </c>
      <c r="D837" s="2">
        <v>0</v>
      </c>
      <c r="E837" s="2" t="s">
        <v>0</v>
      </c>
      <c r="G837" s="1" t="s">
        <v>1968</v>
      </c>
      <c r="H837" s="2">
        <v>1</v>
      </c>
      <c r="J837" s="15">
        <v>14.88</v>
      </c>
      <c r="K837" s="40">
        <v>0</v>
      </c>
    </row>
    <row r="838" spans="1:11" x14ac:dyDescent="0.25">
      <c r="A838" s="1">
        <v>1007490</v>
      </c>
      <c r="B838" s="1" t="s">
        <v>855</v>
      </c>
      <c r="D838" s="2">
        <v>0</v>
      </c>
      <c r="E838" s="2" t="s">
        <v>0</v>
      </c>
      <c r="G838" s="1" t="s">
        <v>1969</v>
      </c>
      <c r="H838" s="2">
        <v>1</v>
      </c>
      <c r="I838" s="2">
        <v>21</v>
      </c>
      <c r="J838" s="15">
        <v>37.979999999999997</v>
      </c>
      <c r="K838" s="40">
        <v>0</v>
      </c>
    </row>
    <row r="839" spans="1:11" x14ac:dyDescent="0.25">
      <c r="A839" s="1">
        <v>1008788</v>
      </c>
      <c r="B839" s="1" t="s">
        <v>856</v>
      </c>
      <c r="D839" s="2">
        <v>0</v>
      </c>
      <c r="E839" s="2" t="s">
        <v>0</v>
      </c>
      <c r="G839" s="1" t="s">
        <v>1969</v>
      </c>
      <c r="H839" s="2">
        <v>1</v>
      </c>
      <c r="I839" s="2">
        <v>21</v>
      </c>
      <c r="J839" s="15">
        <v>32.21</v>
      </c>
      <c r="K839" s="40">
        <v>0</v>
      </c>
    </row>
    <row r="840" spans="1:11" x14ac:dyDescent="0.25">
      <c r="A840" s="1">
        <v>1008789</v>
      </c>
      <c r="B840" s="1" t="s">
        <v>857</v>
      </c>
      <c r="D840" s="2">
        <v>0</v>
      </c>
      <c r="E840" s="2" t="s">
        <v>0</v>
      </c>
      <c r="G840" s="1" t="s">
        <v>1969</v>
      </c>
      <c r="H840" s="2">
        <v>1</v>
      </c>
      <c r="I840" s="2">
        <v>21</v>
      </c>
      <c r="J840" s="15">
        <v>38.979999999999997</v>
      </c>
      <c r="K840" s="40">
        <v>0</v>
      </c>
    </row>
    <row r="841" spans="1:11" x14ac:dyDescent="0.25">
      <c r="A841" s="1">
        <v>1011381</v>
      </c>
      <c r="B841" s="1" t="s">
        <v>858</v>
      </c>
      <c r="D841" s="2">
        <v>0</v>
      </c>
      <c r="E841" s="2" t="s">
        <v>131</v>
      </c>
      <c r="G841" s="1" t="s">
        <v>786</v>
      </c>
      <c r="H841" s="2">
        <v>1</v>
      </c>
      <c r="J841" s="15">
        <v>107.27</v>
      </c>
      <c r="K841" s="40">
        <v>0</v>
      </c>
    </row>
    <row r="842" spans="1:11" x14ac:dyDescent="0.25">
      <c r="A842" s="1">
        <v>1011430</v>
      </c>
      <c r="B842" s="1" t="s">
        <v>859</v>
      </c>
      <c r="D842" s="2">
        <v>0</v>
      </c>
      <c r="E842" s="2" t="s">
        <v>56</v>
      </c>
      <c r="G842" s="1" t="s">
        <v>786</v>
      </c>
      <c r="H842" s="2">
        <v>1</v>
      </c>
      <c r="I842" s="2">
        <v>7</v>
      </c>
      <c r="J842" s="15">
        <v>2.38</v>
      </c>
      <c r="K842" s="40">
        <v>0</v>
      </c>
    </row>
    <row r="843" spans="1:11" x14ac:dyDescent="0.25">
      <c r="A843" s="1">
        <v>1011462</v>
      </c>
      <c r="B843" s="1" t="s">
        <v>860</v>
      </c>
      <c r="D843" s="2">
        <v>0</v>
      </c>
      <c r="E843" s="2" t="s">
        <v>0</v>
      </c>
      <c r="G843" s="1" t="s">
        <v>786</v>
      </c>
      <c r="H843" s="2">
        <v>1</v>
      </c>
      <c r="I843" s="2">
        <v>7</v>
      </c>
      <c r="J843" s="15">
        <v>0.71</v>
      </c>
      <c r="K843" s="40">
        <v>0</v>
      </c>
    </row>
    <row r="844" spans="1:11" x14ac:dyDescent="0.25">
      <c r="A844" s="1">
        <v>1011465</v>
      </c>
      <c r="B844" s="1" t="s">
        <v>861</v>
      </c>
      <c r="D844" s="2">
        <v>0</v>
      </c>
      <c r="E844" s="2" t="s">
        <v>0</v>
      </c>
      <c r="G844" s="1" t="s">
        <v>786</v>
      </c>
      <c r="H844" s="2">
        <v>1</v>
      </c>
      <c r="I844" s="2">
        <v>7</v>
      </c>
      <c r="J844" s="15">
        <v>1.75</v>
      </c>
      <c r="K844" s="40">
        <v>0</v>
      </c>
    </row>
    <row r="845" spans="1:11" x14ac:dyDescent="0.25">
      <c r="A845" s="1">
        <v>1011468</v>
      </c>
      <c r="B845" s="1" t="s">
        <v>862</v>
      </c>
      <c r="D845" s="2">
        <v>0</v>
      </c>
      <c r="E845" s="2" t="s">
        <v>0</v>
      </c>
      <c r="G845" s="1" t="s">
        <v>786</v>
      </c>
      <c r="H845" s="2">
        <v>1</v>
      </c>
      <c r="I845" s="2">
        <v>7</v>
      </c>
      <c r="J845" s="15">
        <v>0.88</v>
      </c>
      <c r="K845" s="40">
        <v>0</v>
      </c>
    </row>
    <row r="846" spans="1:11" x14ac:dyDescent="0.25">
      <c r="A846" s="1">
        <v>1011470</v>
      </c>
      <c r="B846" s="1" t="s">
        <v>863</v>
      </c>
      <c r="D846" s="2">
        <v>0</v>
      </c>
      <c r="E846" s="2" t="s">
        <v>0</v>
      </c>
      <c r="G846" s="1" t="s">
        <v>786</v>
      </c>
      <c r="H846" s="2">
        <v>1</v>
      </c>
      <c r="I846" s="2">
        <v>5</v>
      </c>
      <c r="J846" s="15">
        <v>1.1100000000000001</v>
      </c>
      <c r="K846" s="40">
        <v>0</v>
      </c>
    </row>
    <row r="847" spans="1:11" x14ac:dyDescent="0.25">
      <c r="A847" s="1">
        <v>1011471</v>
      </c>
      <c r="B847" s="1" t="s">
        <v>864</v>
      </c>
      <c r="D847" s="2">
        <v>0</v>
      </c>
      <c r="E847" s="2" t="s">
        <v>0</v>
      </c>
      <c r="G847" s="1" t="s">
        <v>786</v>
      </c>
      <c r="H847" s="2">
        <v>1</v>
      </c>
      <c r="I847" s="2">
        <v>7</v>
      </c>
      <c r="J847" s="15">
        <v>0.68</v>
      </c>
      <c r="K847" s="40">
        <v>0</v>
      </c>
    </row>
    <row r="848" spans="1:11" x14ac:dyDescent="0.25">
      <c r="A848" s="1">
        <v>1011563</v>
      </c>
      <c r="B848" s="1" t="s">
        <v>865</v>
      </c>
      <c r="D848" s="2">
        <v>0</v>
      </c>
      <c r="E848" s="2" t="s">
        <v>0</v>
      </c>
      <c r="G848" s="1" t="s">
        <v>1969</v>
      </c>
      <c r="H848" s="2">
        <v>1</v>
      </c>
      <c r="I848" s="2">
        <v>49</v>
      </c>
      <c r="J848" s="15">
        <v>5.49</v>
      </c>
      <c r="K848" s="40">
        <v>0</v>
      </c>
    </row>
    <row r="849" spans="1:11" x14ac:dyDescent="0.25">
      <c r="A849" s="1">
        <v>1011573</v>
      </c>
      <c r="B849" s="1" t="s">
        <v>866</v>
      </c>
      <c r="D849" s="2">
        <v>0</v>
      </c>
      <c r="E849" s="2" t="s">
        <v>0</v>
      </c>
      <c r="G849" s="1" t="s">
        <v>786</v>
      </c>
      <c r="H849" s="2">
        <v>1</v>
      </c>
      <c r="I849" s="2">
        <v>7</v>
      </c>
      <c r="J849" s="15">
        <v>12.55</v>
      </c>
      <c r="K849" s="40">
        <v>0</v>
      </c>
    </row>
    <row r="850" spans="1:11" x14ac:dyDescent="0.25">
      <c r="A850" s="1">
        <v>1011632</v>
      </c>
      <c r="B850" s="1" t="s">
        <v>867</v>
      </c>
      <c r="D850" s="2">
        <v>0</v>
      </c>
      <c r="E850" s="2" t="s">
        <v>56</v>
      </c>
      <c r="G850" s="1" t="s">
        <v>786</v>
      </c>
      <c r="H850" s="2">
        <v>1</v>
      </c>
      <c r="I850" s="2">
        <v>7</v>
      </c>
      <c r="J850" s="15">
        <v>1.97</v>
      </c>
      <c r="K850" s="40">
        <v>0</v>
      </c>
    </row>
    <row r="851" spans="1:11" x14ac:dyDescent="0.25">
      <c r="A851" s="1">
        <v>1011647</v>
      </c>
      <c r="B851" s="1" t="s">
        <v>868</v>
      </c>
      <c r="D851" s="2">
        <v>0</v>
      </c>
      <c r="E851" s="2" t="s">
        <v>0</v>
      </c>
      <c r="G851" s="1" t="s">
        <v>1969</v>
      </c>
      <c r="H851" s="2">
        <v>1</v>
      </c>
      <c r="I851" s="2">
        <v>7</v>
      </c>
      <c r="J851" s="15">
        <v>42.39</v>
      </c>
      <c r="K851" s="40">
        <v>0</v>
      </c>
    </row>
    <row r="852" spans="1:11" x14ac:dyDescent="0.25">
      <c r="A852" s="1">
        <v>1011674</v>
      </c>
      <c r="B852" s="1" t="s">
        <v>869</v>
      </c>
      <c r="D852" s="2">
        <v>0</v>
      </c>
      <c r="E852" s="2" t="s">
        <v>0</v>
      </c>
      <c r="G852" s="1" t="s">
        <v>1968</v>
      </c>
      <c r="H852" s="2">
        <v>1</v>
      </c>
      <c r="J852" s="15">
        <v>4.96</v>
      </c>
      <c r="K852" s="40">
        <v>0</v>
      </c>
    </row>
    <row r="853" spans="1:11" x14ac:dyDescent="0.25">
      <c r="A853" s="1">
        <v>1011691</v>
      </c>
      <c r="B853" s="1" t="s">
        <v>870</v>
      </c>
      <c r="D853" s="2">
        <v>0</v>
      </c>
      <c r="E853" s="2" t="s">
        <v>0</v>
      </c>
      <c r="G853" s="1" t="s">
        <v>786</v>
      </c>
      <c r="H853" s="2">
        <v>1</v>
      </c>
      <c r="I853" s="2">
        <v>49</v>
      </c>
      <c r="J853" s="15">
        <v>49.37</v>
      </c>
      <c r="K853" s="40">
        <v>0</v>
      </c>
    </row>
    <row r="854" spans="1:11" x14ac:dyDescent="0.25">
      <c r="A854" s="1">
        <v>1011692</v>
      </c>
      <c r="B854" s="1" t="s">
        <v>871</v>
      </c>
      <c r="D854" s="2">
        <v>0</v>
      </c>
      <c r="E854" s="2" t="s">
        <v>0</v>
      </c>
      <c r="G854" s="1" t="s">
        <v>786</v>
      </c>
      <c r="H854" s="2">
        <v>1</v>
      </c>
      <c r="I854" s="2">
        <v>49</v>
      </c>
      <c r="J854" s="15">
        <v>55.41</v>
      </c>
      <c r="K854" s="40">
        <v>0</v>
      </c>
    </row>
    <row r="855" spans="1:11" x14ac:dyDescent="0.25">
      <c r="A855" s="1">
        <v>1011699</v>
      </c>
      <c r="B855" s="1" t="s">
        <v>872</v>
      </c>
      <c r="D855" s="2">
        <v>0</v>
      </c>
      <c r="E855" s="2" t="s">
        <v>0</v>
      </c>
      <c r="G855" s="1" t="s">
        <v>1969</v>
      </c>
      <c r="H855" s="2">
        <v>1</v>
      </c>
      <c r="I855" s="2">
        <v>7</v>
      </c>
      <c r="J855" s="15">
        <v>1.32</v>
      </c>
      <c r="K855" s="40">
        <v>0</v>
      </c>
    </row>
    <row r="856" spans="1:11" x14ac:dyDescent="0.25">
      <c r="A856" s="1">
        <v>1011700</v>
      </c>
      <c r="B856" s="1" t="s">
        <v>873</v>
      </c>
      <c r="D856" s="2">
        <v>0</v>
      </c>
      <c r="E856" s="2" t="s">
        <v>0</v>
      </c>
      <c r="G856" s="1" t="s">
        <v>1969</v>
      </c>
      <c r="H856" s="2">
        <v>1</v>
      </c>
      <c r="I856" s="2">
        <v>7</v>
      </c>
      <c r="J856" s="15">
        <v>0.51</v>
      </c>
      <c r="K856" s="40">
        <v>0</v>
      </c>
    </row>
    <row r="857" spans="1:11" x14ac:dyDescent="0.25">
      <c r="A857" s="1">
        <v>1011720</v>
      </c>
      <c r="B857" s="1" t="s">
        <v>874</v>
      </c>
      <c r="D857" s="2">
        <v>0</v>
      </c>
      <c r="E857" s="2" t="s">
        <v>0</v>
      </c>
      <c r="G857" s="1" t="s">
        <v>786</v>
      </c>
      <c r="H857" s="2">
        <v>1</v>
      </c>
      <c r="J857" s="15">
        <v>0.79</v>
      </c>
      <c r="K857" s="40">
        <v>0</v>
      </c>
    </row>
    <row r="858" spans="1:11" x14ac:dyDescent="0.25">
      <c r="A858" s="1">
        <v>1011726</v>
      </c>
      <c r="B858" s="1" t="s">
        <v>875</v>
      </c>
      <c r="D858" s="2">
        <v>0</v>
      </c>
      <c r="E858" s="2" t="s">
        <v>56</v>
      </c>
      <c r="G858" s="1" t="s">
        <v>786</v>
      </c>
      <c r="H858" s="2">
        <v>1</v>
      </c>
      <c r="I858" s="2">
        <v>7</v>
      </c>
      <c r="J858" s="15">
        <v>1.34</v>
      </c>
      <c r="K858" s="40">
        <v>0</v>
      </c>
    </row>
    <row r="859" spans="1:11" x14ac:dyDescent="0.25">
      <c r="A859" s="1">
        <v>1011730</v>
      </c>
      <c r="B859" s="1" t="s">
        <v>876</v>
      </c>
      <c r="D859" s="2">
        <v>0</v>
      </c>
      <c r="E859" s="2" t="s">
        <v>56</v>
      </c>
      <c r="G859" s="1" t="s">
        <v>786</v>
      </c>
      <c r="H859" s="2">
        <v>1</v>
      </c>
      <c r="I859" s="2">
        <v>7</v>
      </c>
      <c r="J859" s="15">
        <v>1.39</v>
      </c>
      <c r="K859" s="40">
        <v>0</v>
      </c>
    </row>
    <row r="860" spans="1:11" x14ac:dyDescent="0.25">
      <c r="A860" s="1">
        <v>1011731</v>
      </c>
      <c r="B860" s="1" t="s">
        <v>877</v>
      </c>
      <c r="D860" s="2">
        <v>0</v>
      </c>
      <c r="E860" s="2" t="s">
        <v>56</v>
      </c>
      <c r="G860" s="1" t="s">
        <v>786</v>
      </c>
      <c r="H860" s="2">
        <v>1</v>
      </c>
      <c r="K860" s="40">
        <v>0</v>
      </c>
    </row>
    <row r="861" spans="1:11" x14ac:dyDescent="0.25">
      <c r="A861" s="1">
        <v>1011738</v>
      </c>
      <c r="B861" s="1" t="s">
        <v>878</v>
      </c>
      <c r="D861" s="2">
        <v>0</v>
      </c>
      <c r="E861" s="2" t="s">
        <v>56</v>
      </c>
      <c r="G861" s="1" t="s">
        <v>786</v>
      </c>
      <c r="H861" s="2">
        <v>1</v>
      </c>
      <c r="K861" s="40">
        <v>0</v>
      </c>
    </row>
    <row r="862" spans="1:11" x14ac:dyDescent="0.25">
      <c r="A862" s="1">
        <v>1011743</v>
      </c>
      <c r="B862" s="1" t="s">
        <v>879</v>
      </c>
      <c r="D862" s="2">
        <v>0</v>
      </c>
      <c r="E862" s="2" t="s">
        <v>56</v>
      </c>
      <c r="G862" s="1" t="s">
        <v>786</v>
      </c>
      <c r="H862" s="2">
        <v>1</v>
      </c>
      <c r="I862" s="2">
        <v>7</v>
      </c>
      <c r="J862" s="15">
        <v>9.18</v>
      </c>
      <c r="K862" s="40">
        <v>0</v>
      </c>
    </row>
    <row r="863" spans="1:11" x14ac:dyDescent="0.25">
      <c r="A863" s="1">
        <v>1011749</v>
      </c>
      <c r="B863" s="1" t="s">
        <v>880</v>
      </c>
      <c r="D863" s="2">
        <v>0</v>
      </c>
      <c r="E863" s="2" t="s">
        <v>56</v>
      </c>
      <c r="G863" s="1" t="s">
        <v>786</v>
      </c>
      <c r="H863" s="2">
        <v>1</v>
      </c>
      <c r="J863" s="15">
        <v>14.7</v>
      </c>
      <c r="K863" s="40">
        <v>0</v>
      </c>
    </row>
    <row r="864" spans="1:11" x14ac:dyDescent="0.25">
      <c r="A864" s="1">
        <v>1011753</v>
      </c>
      <c r="B864" s="1" t="s">
        <v>881</v>
      </c>
      <c r="D864" s="2">
        <v>0</v>
      </c>
      <c r="E864" s="2" t="s">
        <v>56</v>
      </c>
      <c r="G864" s="1" t="s">
        <v>786</v>
      </c>
      <c r="H864" s="2">
        <v>1</v>
      </c>
      <c r="K864" s="40">
        <v>0</v>
      </c>
    </row>
    <row r="865" spans="1:11" x14ac:dyDescent="0.25">
      <c r="A865" s="1">
        <v>1011754</v>
      </c>
      <c r="B865" s="1" t="s">
        <v>882</v>
      </c>
      <c r="D865" s="2">
        <v>0</v>
      </c>
      <c r="E865" s="2" t="s">
        <v>56</v>
      </c>
      <c r="G865" s="1" t="s">
        <v>786</v>
      </c>
      <c r="H865" s="2">
        <v>1</v>
      </c>
      <c r="I865" s="2">
        <v>7</v>
      </c>
      <c r="J865" s="15">
        <v>1.56</v>
      </c>
      <c r="K865" s="40">
        <v>0</v>
      </c>
    </row>
    <row r="866" spans="1:11" x14ac:dyDescent="0.25">
      <c r="A866" s="1">
        <v>1011755</v>
      </c>
      <c r="B866" s="1" t="s">
        <v>883</v>
      </c>
      <c r="D866" s="2">
        <v>0</v>
      </c>
      <c r="E866" s="2" t="s">
        <v>56</v>
      </c>
      <c r="G866" s="1" t="s">
        <v>786</v>
      </c>
      <c r="H866" s="2">
        <v>1</v>
      </c>
      <c r="K866" s="40">
        <v>0</v>
      </c>
    </row>
    <row r="867" spans="1:11" x14ac:dyDescent="0.25">
      <c r="A867" s="1">
        <v>1011776</v>
      </c>
      <c r="B867" s="1" t="s">
        <v>884</v>
      </c>
      <c r="D867" s="2">
        <v>0</v>
      </c>
      <c r="E867" s="2" t="s">
        <v>0</v>
      </c>
      <c r="G867" s="1" t="s">
        <v>786</v>
      </c>
      <c r="H867" s="2">
        <v>1</v>
      </c>
      <c r="I867" s="2">
        <v>49</v>
      </c>
      <c r="J867" s="15">
        <v>86.19</v>
      </c>
      <c r="K867" s="40">
        <v>0</v>
      </c>
    </row>
    <row r="868" spans="1:11" x14ac:dyDescent="0.25">
      <c r="A868" s="1">
        <v>1011777</v>
      </c>
      <c r="B868" s="1" t="s">
        <v>885</v>
      </c>
      <c r="D868" s="2">
        <v>0</v>
      </c>
      <c r="E868" s="2" t="s">
        <v>0</v>
      </c>
      <c r="G868" s="1" t="s">
        <v>1969</v>
      </c>
      <c r="H868" s="2">
        <v>1</v>
      </c>
      <c r="I868" s="2">
        <v>7</v>
      </c>
      <c r="J868" s="15">
        <v>126.73</v>
      </c>
      <c r="K868" s="40">
        <v>0</v>
      </c>
    </row>
    <row r="869" spans="1:11" x14ac:dyDescent="0.25">
      <c r="A869" s="1">
        <v>1011783</v>
      </c>
      <c r="B869" s="1" t="s">
        <v>886</v>
      </c>
      <c r="D869" s="2">
        <v>0</v>
      </c>
      <c r="E869" s="2" t="s">
        <v>0</v>
      </c>
      <c r="G869" s="1" t="s">
        <v>1968</v>
      </c>
      <c r="H869" s="2">
        <v>1</v>
      </c>
      <c r="J869" s="15">
        <v>0.56999999999999995</v>
      </c>
      <c r="K869" s="40">
        <v>0</v>
      </c>
    </row>
    <row r="870" spans="1:11" x14ac:dyDescent="0.25">
      <c r="A870" s="1">
        <v>1011811</v>
      </c>
      <c r="B870" s="1" t="s">
        <v>887</v>
      </c>
      <c r="D870" s="2">
        <v>0</v>
      </c>
      <c r="E870" s="2" t="s">
        <v>302</v>
      </c>
      <c r="G870" s="1" t="s">
        <v>786</v>
      </c>
      <c r="H870" s="2">
        <v>1</v>
      </c>
      <c r="J870" s="15">
        <v>20.76</v>
      </c>
      <c r="K870" s="40">
        <v>0</v>
      </c>
    </row>
    <row r="871" spans="1:11" x14ac:dyDescent="0.25">
      <c r="A871" s="1">
        <v>1011818</v>
      </c>
      <c r="B871" s="1" t="s">
        <v>888</v>
      </c>
      <c r="D871" s="2">
        <v>0</v>
      </c>
      <c r="E871" s="2" t="s">
        <v>0</v>
      </c>
      <c r="G871" s="1" t="s">
        <v>786</v>
      </c>
      <c r="H871" s="2">
        <v>1</v>
      </c>
      <c r="J871" s="15">
        <v>3.15</v>
      </c>
      <c r="K871" s="40">
        <v>0</v>
      </c>
    </row>
    <row r="872" spans="1:11" x14ac:dyDescent="0.25">
      <c r="A872" s="1">
        <v>1011837</v>
      </c>
      <c r="B872" s="1" t="s">
        <v>889</v>
      </c>
      <c r="D872" s="2">
        <v>0</v>
      </c>
      <c r="E872" s="2" t="s">
        <v>56</v>
      </c>
      <c r="G872" s="1" t="s">
        <v>786</v>
      </c>
      <c r="H872" s="2">
        <v>1</v>
      </c>
      <c r="I872" s="2">
        <v>3</v>
      </c>
      <c r="J872" s="15">
        <v>1.02</v>
      </c>
      <c r="K872" s="40">
        <v>0</v>
      </c>
    </row>
    <row r="873" spans="1:11" x14ac:dyDescent="0.25">
      <c r="A873" s="1">
        <v>1011861</v>
      </c>
      <c r="B873" s="1" t="s">
        <v>890</v>
      </c>
      <c r="D873" s="2">
        <v>0</v>
      </c>
      <c r="E873" s="2" t="s">
        <v>302</v>
      </c>
      <c r="G873" s="1" t="s">
        <v>786</v>
      </c>
      <c r="H873" s="2">
        <v>1</v>
      </c>
      <c r="I873" s="2">
        <v>7</v>
      </c>
      <c r="J873" s="15">
        <v>93.3</v>
      </c>
      <c r="K873" s="40">
        <v>0</v>
      </c>
    </row>
    <row r="874" spans="1:11" x14ac:dyDescent="0.25">
      <c r="A874" s="1">
        <v>1011922</v>
      </c>
      <c r="B874" s="1" t="s">
        <v>891</v>
      </c>
      <c r="D874" s="2">
        <v>0</v>
      </c>
      <c r="E874" s="2" t="s">
        <v>0</v>
      </c>
      <c r="G874" s="1" t="s">
        <v>1969</v>
      </c>
      <c r="H874" s="2">
        <v>10</v>
      </c>
      <c r="I874" s="2">
        <v>7</v>
      </c>
      <c r="J874" s="15">
        <v>3.96</v>
      </c>
      <c r="K874" s="40">
        <v>0</v>
      </c>
    </row>
    <row r="875" spans="1:11" x14ac:dyDescent="0.25">
      <c r="A875" s="1">
        <v>1011930</v>
      </c>
      <c r="B875" s="1" t="s">
        <v>892</v>
      </c>
      <c r="D875" s="2">
        <v>0</v>
      </c>
      <c r="E875" s="2" t="s">
        <v>56</v>
      </c>
      <c r="G875" s="1" t="s">
        <v>1969</v>
      </c>
      <c r="H875" s="2">
        <v>1</v>
      </c>
      <c r="I875" s="2">
        <v>35</v>
      </c>
      <c r="J875" s="15">
        <v>52.69</v>
      </c>
      <c r="K875" s="40">
        <v>0</v>
      </c>
    </row>
    <row r="876" spans="1:11" x14ac:dyDescent="0.25">
      <c r="A876" s="1">
        <v>1012317</v>
      </c>
      <c r="B876" s="1" t="s">
        <v>893</v>
      </c>
      <c r="D876" s="2">
        <v>0</v>
      </c>
      <c r="E876" s="2" t="s">
        <v>0</v>
      </c>
      <c r="G876" s="1" t="s">
        <v>1969</v>
      </c>
      <c r="H876" s="2">
        <v>1</v>
      </c>
      <c r="I876" s="2">
        <v>28</v>
      </c>
      <c r="J876" s="15">
        <v>13.32</v>
      </c>
      <c r="K876" s="40">
        <v>0</v>
      </c>
    </row>
    <row r="877" spans="1:11" x14ac:dyDescent="0.25">
      <c r="A877" s="1">
        <v>1013281</v>
      </c>
      <c r="B877" s="1" t="s">
        <v>894</v>
      </c>
      <c r="D877" s="2">
        <v>0</v>
      </c>
      <c r="E877" s="2" t="s">
        <v>0</v>
      </c>
      <c r="G877" s="1" t="s">
        <v>1969</v>
      </c>
      <c r="H877" s="2">
        <v>1</v>
      </c>
      <c r="I877" s="2">
        <v>63</v>
      </c>
      <c r="J877" s="15">
        <v>9.7200000000000006</v>
      </c>
      <c r="K877" s="40">
        <v>0</v>
      </c>
    </row>
    <row r="878" spans="1:11" x14ac:dyDescent="0.25">
      <c r="A878" s="1">
        <v>1013653</v>
      </c>
      <c r="B878" s="1" t="s">
        <v>895</v>
      </c>
      <c r="D878" s="2">
        <v>0</v>
      </c>
      <c r="E878" s="2" t="s">
        <v>56</v>
      </c>
      <c r="G878" s="1" t="s">
        <v>786</v>
      </c>
      <c r="H878" s="2">
        <v>1</v>
      </c>
      <c r="I878" s="2">
        <v>7</v>
      </c>
      <c r="J878" s="15">
        <v>1.84</v>
      </c>
      <c r="K878" s="40">
        <v>0</v>
      </c>
    </row>
    <row r="879" spans="1:11" x14ac:dyDescent="0.25">
      <c r="A879" s="1">
        <v>1013656</v>
      </c>
      <c r="B879" s="1" t="s">
        <v>896</v>
      </c>
      <c r="D879" s="2">
        <v>0</v>
      </c>
      <c r="E879" s="2" t="s">
        <v>56</v>
      </c>
      <c r="G879" s="1" t="s">
        <v>786</v>
      </c>
      <c r="H879" s="2">
        <v>1</v>
      </c>
      <c r="I879" s="2">
        <v>7</v>
      </c>
      <c r="J879" s="15">
        <v>5.27</v>
      </c>
      <c r="K879" s="40">
        <v>0</v>
      </c>
    </row>
    <row r="880" spans="1:11" x14ac:dyDescent="0.25">
      <c r="A880" s="1">
        <v>1013744</v>
      </c>
      <c r="B880" s="1" t="s">
        <v>897</v>
      </c>
      <c r="D880" s="2">
        <v>0</v>
      </c>
      <c r="E880" s="2" t="s">
        <v>0</v>
      </c>
      <c r="G880" s="1" t="s">
        <v>786</v>
      </c>
      <c r="H880" s="2">
        <v>50</v>
      </c>
      <c r="I880" s="2">
        <v>21</v>
      </c>
      <c r="J880" s="15">
        <v>45.14</v>
      </c>
      <c r="K880" s="40">
        <v>0</v>
      </c>
    </row>
    <row r="881" spans="1:11" x14ac:dyDescent="0.25">
      <c r="A881" s="1">
        <v>1014098</v>
      </c>
      <c r="B881" s="1" t="s">
        <v>898</v>
      </c>
      <c r="D881" s="2">
        <v>0</v>
      </c>
      <c r="E881" s="2" t="s">
        <v>56</v>
      </c>
      <c r="G881" s="1" t="s">
        <v>786</v>
      </c>
      <c r="H881" s="2">
        <v>1</v>
      </c>
      <c r="I881" s="2">
        <v>7</v>
      </c>
      <c r="J881" s="15">
        <v>6.82</v>
      </c>
      <c r="K881" s="40">
        <v>0</v>
      </c>
    </row>
    <row r="882" spans="1:11" x14ac:dyDescent="0.25">
      <c r="A882" s="1">
        <v>1014111</v>
      </c>
      <c r="B882" s="1" t="s">
        <v>899</v>
      </c>
      <c r="D882" s="2">
        <v>0</v>
      </c>
      <c r="E882" s="2" t="s">
        <v>56</v>
      </c>
      <c r="G882" s="1" t="s">
        <v>1969</v>
      </c>
      <c r="H882" s="2">
        <v>1</v>
      </c>
      <c r="I882" s="2">
        <v>7</v>
      </c>
      <c r="J882" s="15">
        <v>5</v>
      </c>
      <c r="K882" s="40">
        <v>0</v>
      </c>
    </row>
    <row r="883" spans="1:11" x14ac:dyDescent="0.25">
      <c r="A883" s="1">
        <v>1014112</v>
      </c>
      <c r="B883" s="1" t="s">
        <v>900</v>
      </c>
      <c r="D883" s="2">
        <v>0</v>
      </c>
      <c r="E883" s="2" t="s">
        <v>56</v>
      </c>
      <c r="G883" s="1" t="s">
        <v>786</v>
      </c>
      <c r="H883" s="2">
        <v>1</v>
      </c>
      <c r="I883" s="2">
        <v>7</v>
      </c>
      <c r="J883" s="15">
        <v>3.24</v>
      </c>
      <c r="K883" s="40">
        <v>0</v>
      </c>
    </row>
    <row r="884" spans="1:11" x14ac:dyDescent="0.25">
      <c r="A884" s="1">
        <v>1014301</v>
      </c>
      <c r="B884" s="1" t="s">
        <v>901</v>
      </c>
      <c r="D884" s="2">
        <v>0</v>
      </c>
      <c r="E884" s="2" t="s">
        <v>131</v>
      </c>
      <c r="G884" s="1" t="s">
        <v>1969</v>
      </c>
      <c r="H884" s="2">
        <v>1</v>
      </c>
      <c r="I884" s="2">
        <v>49</v>
      </c>
      <c r="J884" s="15">
        <v>267.81</v>
      </c>
      <c r="K884" s="40">
        <v>0</v>
      </c>
    </row>
    <row r="885" spans="1:11" x14ac:dyDescent="0.25">
      <c r="A885" s="1">
        <v>1014399</v>
      </c>
      <c r="B885" s="1" t="s">
        <v>902</v>
      </c>
      <c r="D885" s="2">
        <v>0</v>
      </c>
      <c r="E885" s="2" t="s">
        <v>56</v>
      </c>
      <c r="G885" s="1" t="s">
        <v>1969</v>
      </c>
      <c r="H885" s="2">
        <v>1</v>
      </c>
      <c r="I885" s="2">
        <v>21</v>
      </c>
      <c r="J885" s="15">
        <v>34.409999999999997</v>
      </c>
      <c r="K885" s="40">
        <v>0</v>
      </c>
    </row>
    <row r="886" spans="1:11" x14ac:dyDescent="0.25">
      <c r="A886" s="1">
        <v>1014401</v>
      </c>
      <c r="B886" s="1" t="s">
        <v>903</v>
      </c>
      <c r="D886" s="2">
        <v>0</v>
      </c>
      <c r="E886" s="2" t="s">
        <v>131</v>
      </c>
      <c r="G886" s="1" t="s">
        <v>786</v>
      </c>
      <c r="H886" s="2">
        <v>1</v>
      </c>
      <c r="J886" s="15">
        <v>12.73</v>
      </c>
      <c r="K886" s="40">
        <v>0</v>
      </c>
    </row>
    <row r="887" spans="1:11" x14ac:dyDescent="0.25">
      <c r="A887" s="1">
        <v>1014410</v>
      </c>
      <c r="B887" s="1" t="s">
        <v>904</v>
      </c>
      <c r="D887" s="2">
        <v>0</v>
      </c>
      <c r="E887" s="2" t="s">
        <v>0</v>
      </c>
      <c r="G887" s="1" t="s">
        <v>786</v>
      </c>
      <c r="H887" s="2">
        <v>1</v>
      </c>
      <c r="I887" s="2">
        <v>7</v>
      </c>
      <c r="J887" s="15">
        <v>2.79</v>
      </c>
      <c r="K887" s="40">
        <v>0</v>
      </c>
    </row>
    <row r="888" spans="1:11" x14ac:dyDescent="0.25">
      <c r="A888" s="1">
        <v>1014419</v>
      </c>
      <c r="B888" s="1" t="s">
        <v>905</v>
      </c>
      <c r="D888" s="2">
        <v>0</v>
      </c>
      <c r="E888" s="2" t="s">
        <v>0</v>
      </c>
      <c r="G888" s="1" t="s">
        <v>1969</v>
      </c>
      <c r="H888" s="2">
        <v>1</v>
      </c>
      <c r="I888" s="2">
        <v>7</v>
      </c>
      <c r="K888" s="40">
        <v>0</v>
      </c>
    </row>
    <row r="889" spans="1:11" x14ac:dyDescent="0.25">
      <c r="A889" s="1">
        <v>1014533</v>
      </c>
      <c r="B889" s="1" t="s">
        <v>906</v>
      </c>
      <c r="D889" s="2">
        <v>0</v>
      </c>
      <c r="E889" s="2" t="s">
        <v>2</v>
      </c>
      <c r="G889" s="1" t="s">
        <v>1969</v>
      </c>
      <c r="H889" s="2">
        <v>6</v>
      </c>
      <c r="I889" s="2">
        <v>14</v>
      </c>
      <c r="J889" s="15">
        <v>13.13</v>
      </c>
      <c r="K889" s="40">
        <v>0</v>
      </c>
    </row>
    <row r="890" spans="1:11" x14ac:dyDescent="0.25">
      <c r="A890" s="1">
        <v>1014617</v>
      </c>
      <c r="B890" s="1" t="s">
        <v>907</v>
      </c>
      <c r="D890" s="2">
        <v>0</v>
      </c>
      <c r="E890" s="2" t="s">
        <v>0</v>
      </c>
      <c r="G890" s="1" t="s">
        <v>786</v>
      </c>
      <c r="H890" s="2">
        <v>1</v>
      </c>
      <c r="J890" s="15">
        <v>14.43</v>
      </c>
      <c r="K890" s="40">
        <v>0</v>
      </c>
    </row>
    <row r="891" spans="1:11" x14ac:dyDescent="0.25">
      <c r="A891" s="1">
        <v>1014889</v>
      </c>
      <c r="B891" s="1" t="s">
        <v>908</v>
      </c>
      <c r="D891" s="2">
        <v>0</v>
      </c>
      <c r="E891" s="2" t="s">
        <v>0</v>
      </c>
      <c r="G891" s="1" t="s">
        <v>1968</v>
      </c>
      <c r="H891" s="2">
        <v>1</v>
      </c>
      <c r="J891" s="15">
        <v>63.55</v>
      </c>
      <c r="K891" s="40">
        <v>0</v>
      </c>
    </row>
    <row r="892" spans="1:11" x14ac:dyDescent="0.25">
      <c r="A892" s="1">
        <v>1014890</v>
      </c>
      <c r="B892" s="1" t="s">
        <v>909</v>
      </c>
      <c r="D892" s="2">
        <v>0</v>
      </c>
      <c r="E892" s="2" t="s">
        <v>0</v>
      </c>
      <c r="G892" s="1" t="s">
        <v>1968</v>
      </c>
      <c r="H892" s="2">
        <v>1</v>
      </c>
      <c r="J892" s="15">
        <v>47.33</v>
      </c>
      <c r="K892" s="40">
        <v>0</v>
      </c>
    </row>
    <row r="893" spans="1:11" x14ac:dyDescent="0.25">
      <c r="A893" s="1">
        <v>1014956</v>
      </c>
      <c r="B893" s="1" t="s">
        <v>910</v>
      </c>
      <c r="D893" s="2">
        <v>0</v>
      </c>
      <c r="E893" s="2" t="s">
        <v>0</v>
      </c>
      <c r="G893" s="1" t="s">
        <v>786</v>
      </c>
      <c r="H893" s="2">
        <v>1</v>
      </c>
      <c r="J893" s="15">
        <v>1.6</v>
      </c>
      <c r="K893" s="40">
        <v>0</v>
      </c>
    </row>
    <row r="894" spans="1:11" x14ac:dyDescent="0.25">
      <c r="A894" s="1">
        <v>1014958</v>
      </c>
      <c r="B894" s="1" t="s">
        <v>911</v>
      </c>
      <c r="D894" s="2">
        <v>0</v>
      </c>
      <c r="E894" s="2" t="s">
        <v>0</v>
      </c>
      <c r="G894" s="1" t="s">
        <v>786</v>
      </c>
      <c r="H894" s="2">
        <v>1</v>
      </c>
      <c r="J894" s="15">
        <v>1.18</v>
      </c>
      <c r="K894" s="40">
        <v>0</v>
      </c>
    </row>
    <row r="895" spans="1:11" x14ac:dyDescent="0.25">
      <c r="A895" s="1">
        <v>1014959</v>
      </c>
      <c r="B895" s="1" t="s">
        <v>912</v>
      </c>
      <c r="D895" s="2">
        <v>0</v>
      </c>
      <c r="E895" s="2" t="s">
        <v>0</v>
      </c>
      <c r="G895" s="1" t="s">
        <v>786</v>
      </c>
      <c r="H895" s="2">
        <v>1</v>
      </c>
      <c r="J895" s="15">
        <v>0.48</v>
      </c>
      <c r="K895" s="40">
        <v>0</v>
      </c>
    </row>
    <row r="896" spans="1:11" x14ac:dyDescent="0.25">
      <c r="A896" s="1">
        <v>1014963</v>
      </c>
      <c r="B896" s="1" t="s">
        <v>913</v>
      </c>
      <c r="D896" s="2">
        <v>0</v>
      </c>
      <c r="E896" s="2" t="s">
        <v>0</v>
      </c>
      <c r="G896" s="1" t="s">
        <v>786</v>
      </c>
      <c r="H896" s="2">
        <v>1</v>
      </c>
      <c r="I896" s="2">
        <v>7</v>
      </c>
      <c r="J896" s="15">
        <v>7.13</v>
      </c>
      <c r="K896" s="40">
        <v>0</v>
      </c>
    </row>
    <row r="897" spans="1:11" x14ac:dyDescent="0.25">
      <c r="A897" s="1">
        <v>1014967</v>
      </c>
      <c r="B897" s="1" t="s">
        <v>914</v>
      </c>
      <c r="D897" s="2">
        <v>0</v>
      </c>
      <c r="E897" s="2" t="s">
        <v>0</v>
      </c>
      <c r="G897" s="1" t="s">
        <v>1969</v>
      </c>
      <c r="H897" s="2">
        <v>1</v>
      </c>
      <c r="I897" s="2">
        <v>42</v>
      </c>
      <c r="J897" s="15">
        <v>197.12</v>
      </c>
      <c r="K897" s="40">
        <v>0</v>
      </c>
    </row>
    <row r="898" spans="1:11" x14ac:dyDescent="0.25">
      <c r="A898" s="1">
        <v>1014983</v>
      </c>
      <c r="B898" s="1" t="s">
        <v>915</v>
      </c>
      <c r="D898" s="2">
        <v>0</v>
      </c>
      <c r="E898" s="2" t="s">
        <v>0</v>
      </c>
      <c r="G898" s="1" t="s">
        <v>1968</v>
      </c>
      <c r="H898" s="2">
        <v>1</v>
      </c>
      <c r="J898" s="15">
        <v>61.75</v>
      </c>
      <c r="K898" s="40">
        <v>0</v>
      </c>
    </row>
    <row r="899" spans="1:11" x14ac:dyDescent="0.25">
      <c r="A899" s="1">
        <v>1014984</v>
      </c>
      <c r="B899" s="1" t="s">
        <v>916</v>
      </c>
      <c r="D899" s="2">
        <v>0</v>
      </c>
      <c r="E899" s="2" t="s">
        <v>0</v>
      </c>
      <c r="G899" s="1" t="s">
        <v>1968</v>
      </c>
      <c r="H899" s="2">
        <v>1</v>
      </c>
      <c r="J899" s="15">
        <v>72.790000000000006</v>
      </c>
      <c r="K899" s="40">
        <v>0</v>
      </c>
    </row>
    <row r="900" spans="1:11" x14ac:dyDescent="0.25">
      <c r="A900" s="1">
        <v>1014985</v>
      </c>
      <c r="B900" s="1" t="s">
        <v>917</v>
      </c>
      <c r="D900" s="2">
        <v>0</v>
      </c>
      <c r="E900" s="2" t="s">
        <v>0</v>
      </c>
      <c r="G900" s="1" t="s">
        <v>1968</v>
      </c>
      <c r="H900" s="2">
        <v>1</v>
      </c>
      <c r="J900" s="15">
        <v>165.82</v>
      </c>
      <c r="K900" s="40">
        <v>0</v>
      </c>
    </row>
    <row r="901" spans="1:11" x14ac:dyDescent="0.25">
      <c r="A901" s="1">
        <v>1014993</v>
      </c>
      <c r="B901" s="1" t="s">
        <v>918</v>
      </c>
      <c r="D901" s="2">
        <v>0</v>
      </c>
      <c r="E901" s="2" t="s">
        <v>0</v>
      </c>
      <c r="G901" s="1" t="s">
        <v>1968</v>
      </c>
      <c r="H901" s="2">
        <v>1</v>
      </c>
      <c r="J901" s="15">
        <v>64.37</v>
      </c>
      <c r="K901" s="40">
        <v>0</v>
      </c>
    </row>
    <row r="902" spans="1:11" x14ac:dyDescent="0.25">
      <c r="A902" s="1">
        <v>1014995</v>
      </c>
      <c r="B902" s="1" t="s">
        <v>919</v>
      </c>
      <c r="D902" s="2">
        <v>0</v>
      </c>
      <c r="E902" s="2" t="s">
        <v>0</v>
      </c>
      <c r="G902" s="1" t="s">
        <v>1969</v>
      </c>
      <c r="H902" s="2">
        <v>1</v>
      </c>
      <c r="I902" s="2">
        <v>7</v>
      </c>
      <c r="J902" s="15">
        <v>47.96</v>
      </c>
      <c r="K902" s="40">
        <v>0</v>
      </c>
    </row>
    <row r="903" spans="1:11" x14ac:dyDescent="0.25">
      <c r="A903" s="1">
        <v>1014996</v>
      </c>
      <c r="B903" s="1" t="s">
        <v>920</v>
      </c>
      <c r="D903" s="2">
        <v>0</v>
      </c>
      <c r="E903" s="2" t="s">
        <v>0</v>
      </c>
      <c r="G903" s="1" t="s">
        <v>1969</v>
      </c>
      <c r="H903" s="2">
        <v>1</v>
      </c>
      <c r="I903" s="2">
        <v>7</v>
      </c>
      <c r="J903" s="15">
        <v>71.03</v>
      </c>
      <c r="K903" s="40">
        <v>0</v>
      </c>
    </row>
    <row r="904" spans="1:11" x14ac:dyDescent="0.25">
      <c r="A904" s="1">
        <v>1014997</v>
      </c>
      <c r="B904" s="1" t="s">
        <v>921</v>
      </c>
      <c r="D904" s="2">
        <v>0</v>
      </c>
      <c r="E904" s="2" t="s">
        <v>0</v>
      </c>
      <c r="G904" s="1" t="s">
        <v>1969</v>
      </c>
      <c r="H904" s="2">
        <v>1</v>
      </c>
      <c r="I904" s="2">
        <v>7</v>
      </c>
      <c r="J904" s="15">
        <v>95.58</v>
      </c>
      <c r="K904" s="40">
        <v>0</v>
      </c>
    </row>
    <row r="905" spans="1:11" x14ac:dyDescent="0.25">
      <c r="A905" s="1">
        <v>1014998</v>
      </c>
      <c r="B905" s="1" t="s">
        <v>922</v>
      </c>
      <c r="D905" s="2">
        <v>0</v>
      </c>
      <c r="E905" s="2" t="s">
        <v>0</v>
      </c>
      <c r="G905" s="1" t="s">
        <v>1968</v>
      </c>
      <c r="H905" s="2">
        <v>1</v>
      </c>
      <c r="J905" s="15">
        <v>87.85</v>
      </c>
      <c r="K905" s="40">
        <v>0</v>
      </c>
    </row>
    <row r="906" spans="1:11" x14ac:dyDescent="0.25">
      <c r="A906" s="1">
        <v>1014999</v>
      </c>
      <c r="B906" s="1" t="s">
        <v>923</v>
      </c>
      <c r="D906" s="2">
        <v>0</v>
      </c>
      <c r="E906" s="2" t="s">
        <v>0</v>
      </c>
      <c r="G906" s="1" t="s">
        <v>1969</v>
      </c>
      <c r="H906" s="2">
        <v>1</v>
      </c>
      <c r="I906" s="2">
        <v>7</v>
      </c>
      <c r="J906" s="15">
        <v>123.08</v>
      </c>
      <c r="K906" s="40">
        <v>0</v>
      </c>
    </row>
    <row r="907" spans="1:11" x14ac:dyDescent="0.25">
      <c r="A907" s="1">
        <v>1015000</v>
      </c>
      <c r="B907" s="1" t="s">
        <v>924</v>
      </c>
      <c r="D907" s="2">
        <v>0</v>
      </c>
      <c r="E907" s="2" t="s">
        <v>0</v>
      </c>
      <c r="G907" s="1" t="s">
        <v>1969</v>
      </c>
      <c r="H907" s="2">
        <v>1</v>
      </c>
      <c r="I907" s="2">
        <v>7</v>
      </c>
      <c r="J907" s="15">
        <v>124.64</v>
      </c>
      <c r="K907" s="40">
        <v>0</v>
      </c>
    </row>
    <row r="908" spans="1:11" x14ac:dyDescent="0.25">
      <c r="A908" s="1">
        <v>1015003</v>
      </c>
      <c r="B908" s="1" t="s">
        <v>925</v>
      </c>
      <c r="D908" s="2">
        <v>0</v>
      </c>
      <c r="E908" s="2" t="s">
        <v>0</v>
      </c>
      <c r="G908" s="1" t="s">
        <v>1969</v>
      </c>
      <c r="H908" s="2">
        <v>1</v>
      </c>
      <c r="I908" s="2">
        <v>147</v>
      </c>
      <c r="J908" s="15">
        <v>43.64</v>
      </c>
      <c r="K908" s="40">
        <v>0</v>
      </c>
    </row>
    <row r="909" spans="1:11" x14ac:dyDescent="0.25">
      <c r="A909" s="1">
        <v>1015049</v>
      </c>
      <c r="B909" s="1" t="s">
        <v>926</v>
      </c>
      <c r="D909" s="2">
        <v>0</v>
      </c>
      <c r="E909" s="2" t="s">
        <v>0</v>
      </c>
      <c r="G909" s="1" t="s">
        <v>1969</v>
      </c>
      <c r="H909" s="2">
        <v>1</v>
      </c>
      <c r="I909" s="2">
        <v>7</v>
      </c>
      <c r="J909" s="15">
        <v>235.64</v>
      </c>
      <c r="K909" s="40">
        <v>0</v>
      </c>
    </row>
    <row r="910" spans="1:11" x14ac:dyDescent="0.25">
      <c r="A910" s="1">
        <v>1015103</v>
      </c>
      <c r="B910" s="1" t="s">
        <v>927</v>
      </c>
      <c r="D910" s="2">
        <v>0</v>
      </c>
      <c r="E910" s="2" t="s">
        <v>0</v>
      </c>
      <c r="G910" s="1" t="s">
        <v>1969</v>
      </c>
      <c r="H910" s="2">
        <v>1</v>
      </c>
      <c r="I910" s="2">
        <v>35</v>
      </c>
      <c r="J910" s="15">
        <v>8.5</v>
      </c>
      <c r="K910" s="40">
        <v>0</v>
      </c>
    </row>
    <row r="911" spans="1:11" x14ac:dyDescent="0.25">
      <c r="A911" s="1">
        <v>1015104</v>
      </c>
      <c r="B911" s="1" t="s">
        <v>928</v>
      </c>
      <c r="D911" s="2">
        <v>0</v>
      </c>
      <c r="E911" s="2" t="s">
        <v>0</v>
      </c>
      <c r="G911" s="1" t="s">
        <v>1969</v>
      </c>
      <c r="H911" s="2">
        <v>1</v>
      </c>
      <c r="I911" s="2">
        <v>7</v>
      </c>
      <c r="J911" s="15">
        <v>8.5</v>
      </c>
      <c r="K911" s="40">
        <v>0</v>
      </c>
    </row>
    <row r="912" spans="1:11" x14ac:dyDescent="0.25">
      <c r="A912" s="1">
        <v>1015161</v>
      </c>
      <c r="B912" s="1" t="s">
        <v>929</v>
      </c>
      <c r="D912" s="2">
        <v>0</v>
      </c>
      <c r="E912" s="2" t="s">
        <v>0</v>
      </c>
      <c r="G912" s="1" t="s">
        <v>1969</v>
      </c>
      <c r="H912" s="2">
        <v>1</v>
      </c>
      <c r="I912" s="2">
        <v>21</v>
      </c>
      <c r="J912" s="15">
        <v>27.82</v>
      </c>
      <c r="K912" s="40">
        <v>0</v>
      </c>
    </row>
    <row r="913" spans="1:11" x14ac:dyDescent="0.25">
      <c r="A913" s="1">
        <v>1015744</v>
      </c>
      <c r="B913" s="1" t="s">
        <v>930</v>
      </c>
      <c r="D913" s="2">
        <v>0</v>
      </c>
      <c r="E913" s="2" t="s">
        <v>0</v>
      </c>
      <c r="G913" s="1" t="s">
        <v>786</v>
      </c>
      <c r="H913" s="2">
        <v>1</v>
      </c>
      <c r="J913" s="15">
        <v>1.6</v>
      </c>
      <c r="K913" s="40">
        <v>0</v>
      </c>
    </row>
    <row r="914" spans="1:11" x14ac:dyDescent="0.25">
      <c r="A914" s="1">
        <v>1016156</v>
      </c>
      <c r="B914" s="1" t="s">
        <v>931</v>
      </c>
      <c r="D914" s="2">
        <v>0</v>
      </c>
      <c r="E914" s="2" t="s">
        <v>0</v>
      </c>
      <c r="G914" s="1" t="s">
        <v>1969</v>
      </c>
      <c r="H914" s="2">
        <v>2</v>
      </c>
      <c r="I914" s="2">
        <v>42</v>
      </c>
      <c r="J914" s="15">
        <v>15.69</v>
      </c>
      <c r="K914" s="40">
        <v>0</v>
      </c>
    </row>
    <row r="915" spans="1:11" x14ac:dyDescent="0.25">
      <c r="A915" s="1">
        <v>1016467</v>
      </c>
      <c r="B915" s="1" t="s">
        <v>932</v>
      </c>
      <c r="D915" s="2">
        <v>0</v>
      </c>
      <c r="E915" s="2" t="s">
        <v>0</v>
      </c>
      <c r="G915" s="1" t="s">
        <v>1969</v>
      </c>
      <c r="H915" s="2">
        <v>1</v>
      </c>
      <c r="I915" s="2">
        <v>42</v>
      </c>
      <c r="J915" s="15">
        <v>87.64</v>
      </c>
      <c r="K915" s="40">
        <v>0</v>
      </c>
    </row>
    <row r="916" spans="1:11" x14ac:dyDescent="0.25">
      <c r="A916" s="1">
        <v>1016648</v>
      </c>
      <c r="B916" s="1" t="s">
        <v>933</v>
      </c>
      <c r="D916" s="2">
        <v>0</v>
      </c>
      <c r="E916" s="2" t="s">
        <v>0</v>
      </c>
      <c r="G916" s="1" t="s">
        <v>1968</v>
      </c>
      <c r="H916" s="2">
        <v>1</v>
      </c>
      <c r="J916" s="15">
        <v>15.49</v>
      </c>
      <c r="K916" s="40">
        <v>0</v>
      </c>
    </row>
    <row r="917" spans="1:11" x14ac:dyDescent="0.25">
      <c r="A917" s="1">
        <v>1016649</v>
      </c>
      <c r="B917" s="1" t="s">
        <v>934</v>
      </c>
      <c r="D917" s="2">
        <v>0</v>
      </c>
      <c r="E917" s="2" t="s">
        <v>0</v>
      </c>
      <c r="G917" s="1" t="s">
        <v>1969</v>
      </c>
      <c r="H917" s="2">
        <v>1</v>
      </c>
      <c r="I917" s="2">
        <v>28</v>
      </c>
      <c r="J917" s="15">
        <v>50.09</v>
      </c>
      <c r="K917" s="40">
        <v>0</v>
      </c>
    </row>
    <row r="918" spans="1:11" x14ac:dyDescent="0.25">
      <c r="A918" s="1">
        <v>1016734</v>
      </c>
      <c r="B918" s="1" t="s">
        <v>935</v>
      </c>
      <c r="D918" s="2">
        <v>0</v>
      </c>
      <c r="E918" s="2" t="s">
        <v>0</v>
      </c>
      <c r="G918" s="1" t="s">
        <v>786</v>
      </c>
      <c r="H918" s="2">
        <v>1</v>
      </c>
      <c r="I918" s="2">
        <v>56</v>
      </c>
      <c r="J918" s="15">
        <v>32.5</v>
      </c>
      <c r="K918" s="40">
        <v>0</v>
      </c>
    </row>
    <row r="919" spans="1:11" x14ac:dyDescent="0.25">
      <c r="A919" s="1">
        <v>1016776</v>
      </c>
      <c r="B919" s="1" t="s">
        <v>936</v>
      </c>
      <c r="D919" s="2">
        <v>0</v>
      </c>
      <c r="E919" s="2" t="s">
        <v>0</v>
      </c>
      <c r="G919" s="1" t="s">
        <v>1968</v>
      </c>
      <c r="H919" s="2">
        <v>1</v>
      </c>
      <c r="J919" s="15">
        <v>44.33</v>
      </c>
      <c r="K919" s="40">
        <v>0</v>
      </c>
    </row>
    <row r="920" spans="1:11" x14ac:dyDescent="0.25">
      <c r="A920" s="1">
        <v>1016800</v>
      </c>
      <c r="B920" s="1" t="s">
        <v>937</v>
      </c>
      <c r="D920" s="2">
        <v>0</v>
      </c>
      <c r="E920" s="2" t="s">
        <v>0</v>
      </c>
      <c r="G920" s="1" t="s">
        <v>1968</v>
      </c>
      <c r="H920" s="2">
        <v>1</v>
      </c>
      <c r="J920" s="15">
        <v>19.62</v>
      </c>
      <c r="K920" s="40">
        <v>0</v>
      </c>
    </row>
    <row r="921" spans="1:11" x14ac:dyDescent="0.25">
      <c r="A921" s="1">
        <v>1016801</v>
      </c>
      <c r="B921" s="1" t="s">
        <v>938</v>
      </c>
      <c r="D921" s="2">
        <v>0</v>
      </c>
      <c r="E921" s="2" t="s">
        <v>0</v>
      </c>
      <c r="G921" s="1" t="s">
        <v>1969</v>
      </c>
      <c r="H921" s="2">
        <v>1</v>
      </c>
      <c r="I921" s="2">
        <v>42</v>
      </c>
      <c r="J921" s="15">
        <v>5.23</v>
      </c>
      <c r="K921" s="40">
        <v>0</v>
      </c>
    </row>
    <row r="922" spans="1:11" x14ac:dyDescent="0.25">
      <c r="A922" s="1">
        <v>1016874</v>
      </c>
      <c r="B922" s="1" t="s">
        <v>939</v>
      </c>
      <c r="D922" s="2">
        <v>0</v>
      </c>
      <c r="E922" s="2" t="s">
        <v>0</v>
      </c>
      <c r="G922" s="1" t="s">
        <v>1968</v>
      </c>
      <c r="H922" s="2">
        <v>8</v>
      </c>
      <c r="J922" s="15">
        <v>63.58</v>
      </c>
      <c r="K922" s="40">
        <v>0</v>
      </c>
    </row>
    <row r="923" spans="1:11" x14ac:dyDescent="0.25">
      <c r="A923" s="1">
        <v>1016957</v>
      </c>
      <c r="B923" s="1" t="s">
        <v>940</v>
      </c>
      <c r="D923" s="2">
        <v>0</v>
      </c>
      <c r="E923" s="2" t="s">
        <v>0</v>
      </c>
      <c r="G923" s="1" t="s">
        <v>1969</v>
      </c>
      <c r="H923" s="2">
        <v>1</v>
      </c>
      <c r="I923" s="2">
        <v>14</v>
      </c>
      <c r="J923" s="15">
        <v>44.42</v>
      </c>
      <c r="K923" s="40">
        <v>0</v>
      </c>
    </row>
    <row r="924" spans="1:11" x14ac:dyDescent="0.25">
      <c r="A924" s="1">
        <v>1016958</v>
      </c>
      <c r="B924" s="1" t="s">
        <v>941</v>
      </c>
      <c r="D924" s="2">
        <v>0</v>
      </c>
      <c r="E924" s="2" t="s">
        <v>0</v>
      </c>
      <c r="G924" s="1" t="s">
        <v>1968</v>
      </c>
      <c r="H924" s="2">
        <v>1</v>
      </c>
      <c r="J924" s="15">
        <v>9.2899999999999991</v>
      </c>
      <c r="K924" s="40">
        <v>0</v>
      </c>
    </row>
    <row r="925" spans="1:11" x14ac:dyDescent="0.25">
      <c r="A925" s="1">
        <v>1017019</v>
      </c>
      <c r="B925" s="1" t="s">
        <v>942</v>
      </c>
      <c r="D925" s="2">
        <v>0</v>
      </c>
      <c r="E925" s="2" t="s">
        <v>0</v>
      </c>
      <c r="G925" s="1" t="s">
        <v>1968</v>
      </c>
      <c r="H925" s="2">
        <v>1</v>
      </c>
      <c r="J925" s="15">
        <v>8.16</v>
      </c>
      <c r="K925" s="40">
        <v>0</v>
      </c>
    </row>
    <row r="926" spans="1:11" x14ac:dyDescent="0.25">
      <c r="A926" s="1">
        <v>1017021</v>
      </c>
      <c r="B926" s="1" t="s">
        <v>943</v>
      </c>
      <c r="D926" s="2">
        <v>0</v>
      </c>
      <c r="E926" s="2" t="s">
        <v>0</v>
      </c>
      <c r="G926" s="1" t="s">
        <v>1968</v>
      </c>
      <c r="H926" s="2">
        <v>1</v>
      </c>
      <c r="J926" s="15">
        <v>12.06</v>
      </c>
      <c r="K926" s="40">
        <v>0</v>
      </c>
    </row>
    <row r="927" spans="1:11" x14ac:dyDescent="0.25">
      <c r="A927" s="1">
        <v>1017042</v>
      </c>
      <c r="B927" s="1" t="s">
        <v>944</v>
      </c>
      <c r="D927" s="2">
        <v>0</v>
      </c>
      <c r="E927" s="2" t="s">
        <v>0</v>
      </c>
      <c r="G927" s="1" t="s">
        <v>1968</v>
      </c>
      <c r="H927" s="2">
        <v>1</v>
      </c>
      <c r="J927" s="15">
        <v>3.94</v>
      </c>
      <c r="K927" s="40">
        <v>0</v>
      </c>
    </row>
    <row r="928" spans="1:11" x14ac:dyDescent="0.25">
      <c r="A928" s="1">
        <v>1017069</v>
      </c>
      <c r="B928" s="1" t="s">
        <v>945</v>
      </c>
      <c r="D928" s="2">
        <v>0</v>
      </c>
      <c r="E928" s="2" t="s">
        <v>0</v>
      </c>
      <c r="G928" s="1" t="s">
        <v>786</v>
      </c>
      <c r="H928" s="2">
        <v>1</v>
      </c>
      <c r="I928" s="2">
        <v>7</v>
      </c>
      <c r="J928" s="15">
        <v>30.19</v>
      </c>
      <c r="K928" s="40">
        <v>0</v>
      </c>
    </row>
    <row r="929" spans="1:11" x14ac:dyDescent="0.25">
      <c r="A929" s="1">
        <v>1017168</v>
      </c>
      <c r="B929" s="1" t="s">
        <v>946</v>
      </c>
      <c r="D929" s="2">
        <v>0</v>
      </c>
      <c r="E929" s="2" t="s">
        <v>0</v>
      </c>
      <c r="G929" s="1" t="s">
        <v>786</v>
      </c>
      <c r="H929" s="2">
        <v>1</v>
      </c>
      <c r="I929" s="2">
        <v>28</v>
      </c>
      <c r="J929" s="15">
        <v>17.55</v>
      </c>
      <c r="K929" s="40">
        <v>0</v>
      </c>
    </row>
    <row r="930" spans="1:11" x14ac:dyDescent="0.25">
      <c r="A930" s="1">
        <v>1017198</v>
      </c>
      <c r="B930" s="1" t="s">
        <v>947</v>
      </c>
      <c r="D930" s="2">
        <v>0</v>
      </c>
      <c r="E930" s="2" t="s">
        <v>0</v>
      </c>
      <c r="G930" s="1" t="s">
        <v>1969</v>
      </c>
      <c r="H930" s="2">
        <v>100</v>
      </c>
      <c r="I930" s="2">
        <v>7</v>
      </c>
      <c r="J930" s="15">
        <v>2.87</v>
      </c>
      <c r="K930" s="40">
        <v>0</v>
      </c>
    </row>
    <row r="931" spans="1:11" x14ac:dyDescent="0.25">
      <c r="A931" s="1">
        <v>1017218</v>
      </c>
      <c r="B931" s="1" t="s">
        <v>948</v>
      </c>
      <c r="D931" s="2">
        <v>0</v>
      </c>
      <c r="E931" s="2" t="s">
        <v>0</v>
      </c>
      <c r="G931" s="1" t="s">
        <v>786</v>
      </c>
      <c r="H931" s="2">
        <v>1</v>
      </c>
      <c r="I931" s="2">
        <v>28</v>
      </c>
      <c r="J931" s="15">
        <v>35.64</v>
      </c>
      <c r="K931" s="40">
        <v>0</v>
      </c>
    </row>
    <row r="932" spans="1:11" x14ac:dyDescent="0.25">
      <c r="A932" s="1">
        <v>1017219</v>
      </c>
      <c r="B932" s="1" t="s">
        <v>949</v>
      </c>
      <c r="D932" s="2">
        <v>0</v>
      </c>
      <c r="E932" s="2" t="s">
        <v>0</v>
      </c>
      <c r="G932" s="1" t="s">
        <v>786</v>
      </c>
      <c r="H932" s="2">
        <v>1</v>
      </c>
      <c r="I932" s="2">
        <v>28</v>
      </c>
      <c r="J932" s="15">
        <v>32.229999999999997</v>
      </c>
      <c r="K932" s="40">
        <v>0</v>
      </c>
    </row>
    <row r="933" spans="1:11" x14ac:dyDescent="0.25">
      <c r="A933" s="1">
        <v>1017242</v>
      </c>
      <c r="B933" s="1" t="s">
        <v>950</v>
      </c>
      <c r="D933" s="2">
        <v>0</v>
      </c>
      <c r="E933" s="2" t="s">
        <v>0</v>
      </c>
      <c r="G933" s="1" t="s">
        <v>786</v>
      </c>
      <c r="H933" s="2">
        <v>1</v>
      </c>
      <c r="J933" s="15">
        <v>9.56</v>
      </c>
      <c r="K933" s="40">
        <v>0</v>
      </c>
    </row>
    <row r="934" spans="1:11" x14ac:dyDescent="0.25">
      <c r="A934" s="1">
        <v>1017279</v>
      </c>
      <c r="B934" s="1" t="s">
        <v>951</v>
      </c>
      <c r="D934" s="2">
        <v>0</v>
      </c>
      <c r="E934" s="2" t="s">
        <v>0</v>
      </c>
      <c r="G934" s="1" t="s">
        <v>786</v>
      </c>
      <c r="H934" s="2">
        <v>1</v>
      </c>
      <c r="I934" s="2">
        <v>21</v>
      </c>
      <c r="J934" s="15">
        <v>6.62</v>
      </c>
      <c r="K934" s="40">
        <v>0</v>
      </c>
    </row>
    <row r="935" spans="1:11" x14ac:dyDescent="0.25">
      <c r="A935" s="1">
        <v>1017292</v>
      </c>
      <c r="B935" s="1" t="s">
        <v>952</v>
      </c>
      <c r="D935" s="2">
        <v>0</v>
      </c>
      <c r="E935" s="2" t="s">
        <v>0</v>
      </c>
      <c r="G935" s="1" t="s">
        <v>786</v>
      </c>
      <c r="H935" s="2">
        <v>1</v>
      </c>
      <c r="I935" s="2">
        <v>28</v>
      </c>
      <c r="J935" s="15">
        <v>5.9</v>
      </c>
      <c r="K935" s="40">
        <v>0</v>
      </c>
    </row>
    <row r="936" spans="1:11" x14ac:dyDescent="0.25">
      <c r="A936" s="1">
        <v>1017350</v>
      </c>
      <c r="D936" s="2">
        <v>0</v>
      </c>
      <c r="E936" s="2" t="s">
        <v>56</v>
      </c>
      <c r="G936" s="1" t="s">
        <v>786</v>
      </c>
      <c r="H936" s="2">
        <v>1</v>
      </c>
      <c r="I936" s="2">
        <v>7</v>
      </c>
      <c r="J936" s="15">
        <v>9.9700000000000006</v>
      </c>
      <c r="K936" s="40">
        <v>0</v>
      </c>
    </row>
    <row r="937" spans="1:11" x14ac:dyDescent="0.25">
      <c r="A937" s="1">
        <v>1017368</v>
      </c>
      <c r="B937" s="1" t="s">
        <v>953</v>
      </c>
      <c r="D937" s="2">
        <v>0</v>
      </c>
      <c r="E937" s="2" t="s">
        <v>302</v>
      </c>
      <c r="G937" s="1" t="s">
        <v>786</v>
      </c>
      <c r="H937" s="2">
        <v>1</v>
      </c>
      <c r="I937" s="2">
        <v>7</v>
      </c>
      <c r="J937" s="15">
        <v>3.24</v>
      </c>
      <c r="K937" s="40">
        <v>0</v>
      </c>
    </row>
    <row r="938" spans="1:11" x14ac:dyDescent="0.25">
      <c r="A938" s="1">
        <v>1017369</v>
      </c>
      <c r="B938" s="1" t="s">
        <v>954</v>
      </c>
      <c r="D938" s="2">
        <v>0</v>
      </c>
      <c r="E938" s="2" t="s">
        <v>302</v>
      </c>
      <c r="G938" s="1" t="s">
        <v>786</v>
      </c>
      <c r="H938" s="2">
        <v>1</v>
      </c>
      <c r="I938" s="2">
        <v>7</v>
      </c>
      <c r="J938" s="15">
        <v>3.24</v>
      </c>
      <c r="K938" s="40">
        <v>0</v>
      </c>
    </row>
    <row r="939" spans="1:11" x14ac:dyDescent="0.25">
      <c r="A939" s="1">
        <v>1017370</v>
      </c>
      <c r="B939" s="1" t="s">
        <v>955</v>
      </c>
      <c r="D939" s="2">
        <v>0</v>
      </c>
      <c r="E939" s="2" t="s">
        <v>302</v>
      </c>
      <c r="G939" s="1" t="s">
        <v>786</v>
      </c>
      <c r="H939" s="2">
        <v>1</v>
      </c>
      <c r="I939" s="2">
        <v>7</v>
      </c>
      <c r="J939" s="15">
        <v>3.24</v>
      </c>
      <c r="K939" s="40">
        <v>0</v>
      </c>
    </row>
    <row r="940" spans="1:11" x14ac:dyDescent="0.25">
      <c r="A940" s="1">
        <v>1017384</v>
      </c>
      <c r="B940" s="1" t="s">
        <v>956</v>
      </c>
      <c r="D940" s="2">
        <v>0</v>
      </c>
      <c r="E940" s="2" t="s">
        <v>0</v>
      </c>
      <c r="G940" s="1" t="s">
        <v>786</v>
      </c>
      <c r="H940" s="2">
        <v>1</v>
      </c>
      <c r="I940" s="2">
        <v>49</v>
      </c>
      <c r="J940" s="15">
        <v>76.45</v>
      </c>
      <c r="K940" s="40">
        <v>0</v>
      </c>
    </row>
    <row r="941" spans="1:11" x14ac:dyDescent="0.25">
      <c r="A941" s="1">
        <v>1017388</v>
      </c>
      <c r="B941" s="1" t="s">
        <v>957</v>
      </c>
      <c r="D941" s="2">
        <v>0</v>
      </c>
      <c r="E941" s="2" t="s">
        <v>0</v>
      </c>
      <c r="G941" s="1" t="s">
        <v>786</v>
      </c>
      <c r="H941" s="2">
        <v>1</v>
      </c>
      <c r="I941" s="2">
        <v>14</v>
      </c>
      <c r="J941" s="15">
        <v>29.17</v>
      </c>
      <c r="K941" s="40">
        <v>0</v>
      </c>
    </row>
    <row r="942" spans="1:11" x14ac:dyDescent="0.25">
      <c r="A942" s="1">
        <v>1017402</v>
      </c>
      <c r="B942" s="1" t="s">
        <v>958</v>
      </c>
      <c r="D942" s="2">
        <v>0</v>
      </c>
      <c r="E942" s="2" t="s">
        <v>302</v>
      </c>
      <c r="G942" s="1" t="s">
        <v>786</v>
      </c>
      <c r="H942" s="2">
        <v>1</v>
      </c>
      <c r="J942" s="15">
        <v>11.11</v>
      </c>
      <c r="K942" s="40">
        <v>0</v>
      </c>
    </row>
    <row r="943" spans="1:11" x14ac:dyDescent="0.25">
      <c r="A943" s="1">
        <v>1017412</v>
      </c>
      <c r="B943" s="1" t="s">
        <v>959</v>
      </c>
      <c r="D943" s="2">
        <v>0</v>
      </c>
      <c r="E943" s="2" t="s">
        <v>0</v>
      </c>
      <c r="G943" s="1" t="s">
        <v>786</v>
      </c>
      <c r="H943" s="2">
        <v>1</v>
      </c>
      <c r="I943" s="2">
        <v>7</v>
      </c>
      <c r="J943" s="15">
        <v>41.67</v>
      </c>
      <c r="K943" s="40">
        <v>0</v>
      </c>
    </row>
    <row r="944" spans="1:11" x14ac:dyDescent="0.25">
      <c r="A944" s="1">
        <v>1017435</v>
      </c>
      <c r="B944" s="1" t="s">
        <v>960</v>
      </c>
      <c r="D944" s="2">
        <v>0</v>
      </c>
      <c r="E944" s="2" t="s">
        <v>0</v>
      </c>
      <c r="G944" s="1" t="s">
        <v>1969</v>
      </c>
      <c r="H944" s="2">
        <v>1</v>
      </c>
      <c r="I944" s="2">
        <v>7</v>
      </c>
      <c r="J944" s="15">
        <v>12.44</v>
      </c>
      <c r="K944" s="40">
        <v>0</v>
      </c>
    </row>
    <row r="945" spans="1:11" x14ac:dyDescent="0.25">
      <c r="A945" s="1">
        <v>1017974</v>
      </c>
      <c r="B945" s="1" t="s">
        <v>961</v>
      </c>
      <c r="D945" s="2">
        <v>0</v>
      </c>
      <c r="E945" s="2" t="s">
        <v>0</v>
      </c>
      <c r="G945" s="1" t="s">
        <v>786</v>
      </c>
      <c r="H945" s="2">
        <v>1</v>
      </c>
      <c r="I945" s="2">
        <v>7</v>
      </c>
      <c r="J945" s="15">
        <v>12.33</v>
      </c>
      <c r="K945" s="40">
        <v>0</v>
      </c>
    </row>
    <row r="946" spans="1:11" x14ac:dyDescent="0.25">
      <c r="A946" s="1">
        <v>1018651</v>
      </c>
      <c r="B946" s="1" t="s">
        <v>962</v>
      </c>
      <c r="D946" s="2">
        <v>0</v>
      </c>
      <c r="E946" s="2" t="s">
        <v>1900</v>
      </c>
      <c r="G946" s="1" t="s">
        <v>786</v>
      </c>
      <c r="H946" s="2">
        <v>1</v>
      </c>
      <c r="I946" s="2">
        <v>7</v>
      </c>
      <c r="J946" s="15">
        <v>12.54</v>
      </c>
      <c r="K946" s="40">
        <v>0</v>
      </c>
    </row>
    <row r="947" spans="1:11" x14ac:dyDescent="0.25">
      <c r="A947" s="1">
        <v>1018652</v>
      </c>
      <c r="B947" s="1" t="s">
        <v>963</v>
      </c>
      <c r="D947" s="2">
        <v>0</v>
      </c>
      <c r="E947" s="2" t="s">
        <v>1900</v>
      </c>
      <c r="G947" s="1" t="s">
        <v>786</v>
      </c>
      <c r="H947" s="2">
        <v>1</v>
      </c>
      <c r="I947" s="2">
        <v>15</v>
      </c>
      <c r="J947" s="15">
        <v>12.54</v>
      </c>
      <c r="K947" s="40">
        <v>0</v>
      </c>
    </row>
    <row r="948" spans="1:11" x14ac:dyDescent="0.25">
      <c r="A948" s="1">
        <v>1018782</v>
      </c>
      <c r="B948" s="1" t="s">
        <v>964</v>
      </c>
      <c r="D948" s="2">
        <v>0</v>
      </c>
      <c r="E948" s="2" t="s">
        <v>0</v>
      </c>
      <c r="G948" s="1" t="s">
        <v>786</v>
      </c>
      <c r="H948" s="2">
        <v>1</v>
      </c>
      <c r="I948" s="2">
        <v>28</v>
      </c>
      <c r="J948" s="15">
        <v>6.35</v>
      </c>
      <c r="K948" s="40">
        <v>0</v>
      </c>
    </row>
    <row r="949" spans="1:11" x14ac:dyDescent="0.25">
      <c r="A949" s="1">
        <v>1018784</v>
      </c>
      <c r="B949" s="1" t="s">
        <v>965</v>
      </c>
      <c r="D949" s="2">
        <v>0</v>
      </c>
      <c r="E949" s="2" t="s">
        <v>0</v>
      </c>
      <c r="G949" s="1" t="s">
        <v>786</v>
      </c>
      <c r="H949" s="2">
        <v>1</v>
      </c>
      <c r="I949" s="2">
        <v>28</v>
      </c>
      <c r="J949" s="15">
        <v>5.3</v>
      </c>
      <c r="K949" s="40">
        <v>0</v>
      </c>
    </row>
    <row r="950" spans="1:11" x14ac:dyDescent="0.25">
      <c r="A950" s="1">
        <v>1018922</v>
      </c>
      <c r="B950" s="1" t="s">
        <v>966</v>
      </c>
      <c r="D950" s="2">
        <v>0</v>
      </c>
      <c r="E950" s="2" t="s">
        <v>0</v>
      </c>
      <c r="G950" s="1" t="s">
        <v>786</v>
      </c>
      <c r="H950" s="2">
        <v>1</v>
      </c>
      <c r="I950" s="2">
        <v>14</v>
      </c>
      <c r="J950" s="15">
        <v>10.01</v>
      </c>
      <c r="K950" s="40">
        <v>0</v>
      </c>
    </row>
    <row r="951" spans="1:11" x14ac:dyDescent="0.25">
      <c r="A951" s="1">
        <v>1018924</v>
      </c>
      <c r="B951" s="1" t="s">
        <v>967</v>
      </c>
      <c r="D951" s="2">
        <v>0</v>
      </c>
      <c r="E951" s="2" t="s">
        <v>0</v>
      </c>
      <c r="G951" s="1" t="s">
        <v>786</v>
      </c>
      <c r="H951" s="2">
        <v>1</v>
      </c>
      <c r="J951" s="15">
        <v>13.97</v>
      </c>
      <c r="K951" s="40">
        <v>0</v>
      </c>
    </row>
    <row r="952" spans="1:11" x14ac:dyDescent="0.25">
      <c r="A952" s="1">
        <v>1020972</v>
      </c>
      <c r="B952" s="1" t="s">
        <v>968</v>
      </c>
      <c r="D952" s="2">
        <v>0</v>
      </c>
      <c r="E952" s="2" t="s">
        <v>0</v>
      </c>
      <c r="G952" s="1" t="s">
        <v>786</v>
      </c>
      <c r="H952" s="2">
        <v>500</v>
      </c>
      <c r="I952" s="2">
        <v>7</v>
      </c>
      <c r="K952" s="40">
        <v>0</v>
      </c>
    </row>
    <row r="953" spans="1:11" x14ac:dyDescent="0.25">
      <c r="A953" s="1">
        <v>1021283</v>
      </c>
      <c r="B953" s="1" t="s">
        <v>969</v>
      </c>
      <c r="D953" s="2">
        <v>0</v>
      </c>
      <c r="E953" s="2" t="s">
        <v>0</v>
      </c>
      <c r="G953" s="1" t="s">
        <v>786</v>
      </c>
      <c r="H953" s="2">
        <v>1</v>
      </c>
      <c r="I953" s="2">
        <v>14</v>
      </c>
      <c r="J953" s="15">
        <v>15.01</v>
      </c>
      <c r="K953" s="40">
        <v>0</v>
      </c>
    </row>
    <row r="954" spans="1:11" x14ac:dyDescent="0.25">
      <c r="A954" s="1">
        <v>1022006</v>
      </c>
      <c r="B954" s="1" t="s">
        <v>970</v>
      </c>
      <c r="D954" s="2">
        <v>0</v>
      </c>
      <c r="E954" s="2" t="s">
        <v>0</v>
      </c>
      <c r="G954" s="1" t="s">
        <v>1968</v>
      </c>
      <c r="H954" s="2">
        <v>1</v>
      </c>
      <c r="J954" s="15">
        <v>7.81</v>
      </c>
      <c r="K954" s="40">
        <v>0</v>
      </c>
    </row>
    <row r="955" spans="1:11" x14ac:dyDescent="0.25">
      <c r="A955" s="1">
        <v>1022087</v>
      </c>
      <c r="B955" s="1" t="s">
        <v>971</v>
      </c>
      <c r="D955" s="2">
        <v>0</v>
      </c>
      <c r="E955" s="2" t="s">
        <v>302</v>
      </c>
      <c r="G955" s="1" t="s">
        <v>786</v>
      </c>
      <c r="H955" s="2">
        <v>1</v>
      </c>
      <c r="I955" s="2">
        <v>21</v>
      </c>
      <c r="J955" s="15">
        <v>1.51</v>
      </c>
      <c r="K955" s="40">
        <v>0</v>
      </c>
    </row>
    <row r="956" spans="1:11" x14ac:dyDescent="0.25">
      <c r="A956" s="1">
        <v>1022127</v>
      </c>
      <c r="B956" s="1" t="s">
        <v>972</v>
      </c>
      <c r="D956" s="2">
        <v>0</v>
      </c>
      <c r="E956" s="2" t="s">
        <v>426</v>
      </c>
      <c r="G956" s="1" t="s">
        <v>1969</v>
      </c>
      <c r="H956" s="2">
        <v>1</v>
      </c>
      <c r="I956" s="2">
        <v>14</v>
      </c>
      <c r="J956" s="15">
        <v>27.05</v>
      </c>
      <c r="K956" s="40">
        <v>0</v>
      </c>
    </row>
    <row r="957" spans="1:11" x14ac:dyDescent="0.25">
      <c r="A957" s="1">
        <v>1023914</v>
      </c>
      <c r="B957" s="1" t="s">
        <v>973</v>
      </c>
      <c r="D957" s="2">
        <v>0</v>
      </c>
      <c r="E957" s="2" t="s">
        <v>0</v>
      </c>
      <c r="G957" s="1" t="s">
        <v>1969</v>
      </c>
      <c r="H957" s="2">
        <v>1</v>
      </c>
      <c r="I957" s="2">
        <v>28</v>
      </c>
      <c r="J957" s="15">
        <v>24.66</v>
      </c>
      <c r="K957" s="40">
        <v>0</v>
      </c>
    </row>
    <row r="958" spans="1:11" x14ac:dyDescent="0.25">
      <c r="A958" s="1">
        <v>1023923</v>
      </c>
      <c r="B958" s="1" t="s">
        <v>974</v>
      </c>
      <c r="D958" s="2">
        <v>0</v>
      </c>
      <c r="E958" s="2" t="s">
        <v>0</v>
      </c>
      <c r="G958" s="1" t="s">
        <v>786</v>
      </c>
      <c r="H958" s="2">
        <v>1</v>
      </c>
      <c r="I958" s="2">
        <v>7</v>
      </c>
      <c r="J958" s="15">
        <v>87.91</v>
      </c>
      <c r="K958" s="40">
        <v>0</v>
      </c>
    </row>
    <row r="959" spans="1:11" x14ac:dyDescent="0.25">
      <c r="A959" s="1">
        <v>1025317</v>
      </c>
      <c r="B959" s="1" t="s">
        <v>975</v>
      </c>
      <c r="D959" s="2">
        <v>0</v>
      </c>
      <c r="E959" s="2" t="s">
        <v>0</v>
      </c>
      <c r="G959" s="1" t="s">
        <v>786</v>
      </c>
      <c r="H959" s="2">
        <v>1</v>
      </c>
      <c r="J959" s="15">
        <v>0.21</v>
      </c>
      <c r="K959" s="40">
        <v>0</v>
      </c>
    </row>
    <row r="960" spans="1:11" x14ac:dyDescent="0.25">
      <c r="A960" s="1">
        <v>1025353</v>
      </c>
      <c r="B960" s="1" t="s">
        <v>976</v>
      </c>
      <c r="D960" s="2">
        <v>0</v>
      </c>
      <c r="E960" s="2" t="s">
        <v>0</v>
      </c>
      <c r="G960" s="1" t="s">
        <v>1968</v>
      </c>
      <c r="H960" s="2">
        <v>1</v>
      </c>
      <c r="J960" s="15">
        <v>14.4</v>
      </c>
      <c r="K960" s="40">
        <v>0</v>
      </c>
    </row>
    <row r="961" spans="1:11" x14ac:dyDescent="0.25">
      <c r="A961" s="1">
        <v>1025446</v>
      </c>
      <c r="B961" s="1" t="s">
        <v>977</v>
      </c>
      <c r="D961" s="2">
        <v>0</v>
      </c>
      <c r="E961" s="2" t="s">
        <v>0</v>
      </c>
      <c r="G961" s="1" t="s">
        <v>1968</v>
      </c>
      <c r="H961" s="2">
        <v>20</v>
      </c>
      <c r="J961" s="15">
        <v>1.44</v>
      </c>
      <c r="K961" s="40">
        <v>0</v>
      </c>
    </row>
    <row r="962" spans="1:11" x14ac:dyDescent="0.25">
      <c r="A962" s="1">
        <v>1025447</v>
      </c>
      <c r="B962" s="1" t="s">
        <v>978</v>
      </c>
      <c r="D962" s="2">
        <v>0</v>
      </c>
      <c r="E962" s="2" t="s">
        <v>0</v>
      </c>
      <c r="G962" s="1" t="s">
        <v>1968</v>
      </c>
      <c r="H962" s="2">
        <v>10</v>
      </c>
      <c r="J962" s="15">
        <v>1.69</v>
      </c>
      <c r="K962" s="40">
        <v>0</v>
      </c>
    </row>
    <row r="963" spans="1:11" x14ac:dyDescent="0.25">
      <c r="A963" s="1">
        <v>1025448</v>
      </c>
      <c r="B963" s="1" t="s">
        <v>979</v>
      </c>
      <c r="D963" s="2">
        <v>0</v>
      </c>
      <c r="E963" s="2" t="s">
        <v>0</v>
      </c>
      <c r="G963" s="1" t="s">
        <v>1968</v>
      </c>
      <c r="H963" s="2">
        <v>10</v>
      </c>
      <c r="J963" s="15">
        <v>1.44</v>
      </c>
      <c r="K963" s="40">
        <v>0</v>
      </c>
    </row>
    <row r="964" spans="1:11" x14ac:dyDescent="0.25">
      <c r="A964" s="1">
        <v>1025568</v>
      </c>
      <c r="B964" s="1" t="s">
        <v>980</v>
      </c>
      <c r="D964" s="2">
        <v>0</v>
      </c>
      <c r="E964" s="2" t="s">
        <v>0</v>
      </c>
      <c r="G964" s="1" t="s">
        <v>786</v>
      </c>
      <c r="H964" s="2">
        <v>1</v>
      </c>
      <c r="I964" s="2">
        <v>42</v>
      </c>
      <c r="K964" s="40">
        <v>0</v>
      </c>
    </row>
    <row r="965" spans="1:11" x14ac:dyDescent="0.25">
      <c r="A965" s="1">
        <v>1025628</v>
      </c>
      <c r="B965" s="1" t="s">
        <v>981</v>
      </c>
      <c r="D965" s="2">
        <v>0</v>
      </c>
      <c r="E965" s="2" t="s">
        <v>0</v>
      </c>
      <c r="G965" s="1" t="s">
        <v>786</v>
      </c>
      <c r="H965" s="2">
        <v>1</v>
      </c>
      <c r="J965" s="15">
        <v>3.12</v>
      </c>
      <c r="K965" s="40">
        <v>0</v>
      </c>
    </row>
    <row r="966" spans="1:11" x14ac:dyDescent="0.25">
      <c r="A966" s="1">
        <v>1025629</v>
      </c>
      <c r="B966" s="1" t="s">
        <v>982</v>
      </c>
      <c r="D966" s="2">
        <v>0</v>
      </c>
      <c r="E966" s="2" t="s">
        <v>0</v>
      </c>
      <c r="G966" s="1" t="s">
        <v>786</v>
      </c>
      <c r="H966" s="2">
        <v>1</v>
      </c>
      <c r="I966" s="2">
        <v>14</v>
      </c>
      <c r="J966" s="15">
        <v>3.88</v>
      </c>
      <c r="K966" s="40">
        <v>0</v>
      </c>
    </row>
    <row r="967" spans="1:11" x14ac:dyDescent="0.25">
      <c r="A967" s="1">
        <v>1025631</v>
      </c>
      <c r="B967" s="1" t="s">
        <v>983</v>
      </c>
      <c r="D967" s="2">
        <v>0</v>
      </c>
      <c r="E967" s="2" t="s">
        <v>0</v>
      </c>
      <c r="G967" s="1" t="s">
        <v>786</v>
      </c>
      <c r="H967" s="2">
        <v>1</v>
      </c>
      <c r="J967" s="15">
        <v>7.96</v>
      </c>
      <c r="K967" s="40">
        <v>0</v>
      </c>
    </row>
    <row r="968" spans="1:11" x14ac:dyDescent="0.25">
      <c r="A968" s="1">
        <v>1025665</v>
      </c>
      <c r="B968" s="1" t="s">
        <v>984</v>
      </c>
      <c r="D968" s="2">
        <v>0</v>
      </c>
      <c r="E968" s="2" t="s">
        <v>0</v>
      </c>
      <c r="G968" s="1" t="s">
        <v>1969</v>
      </c>
      <c r="H968" s="2">
        <v>1</v>
      </c>
      <c r="I968" s="2">
        <v>7</v>
      </c>
      <c r="J968" s="15">
        <v>1.87</v>
      </c>
      <c r="K968" s="40">
        <v>0</v>
      </c>
    </row>
    <row r="969" spans="1:11" x14ac:dyDescent="0.25">
      <c r="A969" s="1">
        <v>1025693</v>
      </c>
      <c r="B969" s="1" t="s">
        <v>985</v>
      </c>
      <c r="D969" s="2">
        <v>0</v>
      </c>
      <c r="E969" s="2" t="s">
        <v>0</v>
      </c>
      <c r="G969" s="1" t="s">
        <v>786</v>
      </c>
      <c r="H969" s="2">
        <v>1</v>
      </c>
      <c r="I969" s="2">
        <v>7</v>
      </c>
      <c r="J969" s="15">
        <v>68.47</v>
      </c>
      <c r="K969" s="40">
        <v>0</v>
      </c>
    </row>
    <row r="970" spans="1:11" x14ac:dyDescent="0.25">
      <c r="A970" s="1">
        <v>1025698</v>
      </c>
      <c r="B970" s="1" t="s">
        <v>986</v>
      </c>
      <c r="D970" s="2">
        <v>0</v>
      </c>
      <c r="E970" s="2" t="s">
        <v>0</v>
      </c>
      <c r="G970" s="1" t="s">
        <v>1969</v>
      </c>
      <c r="H970" s="2">
        <v>1</v>
      </c>
      <c r="I970" s="2">
        <v>7</v>
      </c>
      <c r="J970" s="15">
        <v>21.21</v>
      </c>
      <c r="K970" s="40">
        <v>0</v>
      </c>
    </row>
    <row r="971" spans="1:11" x14ac:dyDescent="0.25">
      <c r="A971" s="1">
        <v>1025740</v>
      </c>
      <c r="B971" s="1" t="s">
        <v>987</v>
      </c>
      <c r="D971" s="2">
        <v>0</v>
      </c>
      <c r="E971" s="2" t="s">
        <v>131</v>
      </c>
      <c r="G971" s="1" t="s">
        <v>1969</v>
      </c>
      <c r="H971" s="2">
        <v>1</v>
      </c>
      <c r="I971" s="2">
        <v>7</v>
      </c>
      <c r="J971" s="15">
        <v>278.8</v>
      </c>
      <c r="K971" s="40">
        <v>0</v>
      </c>
    </row>
    <row r="972" spans="1:11" x14ac:dyDescent="0.25">
      <c r="A972" s="1">
        <v>1025770</v>
      </c>
      <c r="B972" s="1" t="s">
        <v>988</v>
      </c>
      <c r="D972" s="2">
        <v>0</v>
      </c>
      <c r="E972" s="2" t="s">
        <v>131</v>
      </c>
      <c r="G972" s="1" t="s">
        <v>786</v>
      </c>
      <c r="H972" s="2">
        <v>1</v>
      </c>
      <c r="J972" s="15">
        <v>48.81</v>
      </c>
      <c r="K972" s="40">
        <v>0</v>
      </c>
    </row>
    <row r="973" spans="1:11" x14ac:dyDescent="0.25">
      <c r="A973" s="1">
        <v>1026941</v>
      </c>
      <c r="B973" s="1" t="s">
        <v>989</v>
      </c>
      <c r="D973" s="2">
        <v>0</v>
      </c>
      <c r="E973" s="2" t="s">
        <v>0</v>
      </c>
      <c r="G973" s="1" t="s">
        <v>1968</v>
      </c>
      <c r="H973" s="2">
        <v>1</v>
      </c>
      <c r="J973" s="15">
        <v>2.14</v>
      </c>
      <c r="K973" s="40">
        <v>0</v>
      </c>
    </row>
    <row r="974" spans="1:11" x14ac:dyDescent="0.25">
      <c r="A974" s="1">
        <v>1027346</v>
      </c>
      <c r="B974" s="1" t="s">
        <v>990</v>
      </c>
      <c r="D974" s="2">
        <v>0</v>
      </c>
      <c r="E974" s="2" t="s">
        <v>131</v>
      </c>
      <c r="G974" s="1" t="s">
        <v>786</v>
      </c>
      <c r="H974" s="2">
        <v>1</v>
      </c>
      <c r="J974" s="15">
        <v>5.9</v>
      </c>
      <c r="K974" s="40">
        <v>0</v>
      </c>
    </row>
    <row r="975" spans="1:11" x14ac:dyDescent="0.25">
      <c r="A975" s="1">
        <v>1027348</v>
      </c>
      <c r="B975" s="1" t="s">
        <v>991</v>
      </c>
      <c r="D975" s="2">
        <v>0</v>
      </c>
      <c r="E975" s="2" t="s">
        <v>131</v>
      </c>
      <c r="G975" s="1" t="s">
        <v>786</v>
      </c>
      <c r="H975" s="2">
        <v>1</v>
      </c>
      <c r="J975" s="15">
        <v>5.0999999999999996</v>
      </c>
      <c r="K975" s="40">
        <v>0</v>
      </c>
    </row>
    <row r="976" spans="1:11" x14ac:dyDescent="0.25">
      <c r="A976" s="1">
        <v>1027593</v>
      </c>
      <c r="B976" s="1" t="s">
        <v>992</v>
      </c>
      <c r="D976" s="2">
        <v>0</v>
      </c>
      <c r="E976" s="2" t="s">
        <v>131</v>
      </c>
      <c r="G976" s="1" t="s">
        <v>786</v>
      </c>
      <c r="H976" s="2">
        <v>1</v>
      </c>
      <c r="I976" s="2">
        <v>14</v>
      </c>
      <c r="J976" s="15">
        <v>5.38</v>
      </c>
      <c r="K976" s="40">
        <v>0</v>
      </c>
    </row>
    <row r="977" spans="1:11" x14ac:dyDescent="0.25">
      <c r="A977" s="1">
        <v>1028125</v>
      </c>
      <c r="B977" s="1" t="s">
        <v>993</v>
      </c>
      <c r="D977" s="2">
        <v>0</v>
      </c>
      <c r="E977" s="2" t="s">
        <v>131</v>
      </c>
      <c r="G977" s="1" t="s">
        <v>786</v>
      </c>
      <c r="H977" s="2">
        <v>1</v>
      </c>
      <c r="I977" s="2">
        <v>14</v>
      </c>
      <c r="J977" s="15">
        <v>3.94</v>
      </c>
      <c r="K977" s="40">
        <v>0</v>
      </c>
    </row>
    <row r="978" spans="1:11" x14ac:dyDescent="0.25">
      <c r="A978" s="1">
        <v>1028528</v>
      </c>
      <c r="B978" s="1" t="s">
        <v>994</v>
      </c>
      <c r="D978" s="2">
        <v>0</v>
      </c>
      <c r="E978" s="2" t="s">
        <v>0</v>
      </c>
      <c r="G978" s="1" t="s">
        <v>1968</v>
      </c>
      <c r="H978" s="2">
        <v>1</v>
      </c>
      <c r="J978" s="15">
        <v>11.05</v>
      </c>
      <c r="K978" s="40">
        <v>0</v>
      </c>
    </row>
    <row r="979" spans="1:11" x14ac:dyDescent="0.25">
      <c r="A979" s="1">
        <v>1028609</v>
      </c>
      <c r="B979" s="1" t="s">
        <v>995</v>
      </c>
      <c r="D979" s="2">
        <v>0</v>
      </c>
      <c r="E979" s="2" t="s">
        <v>0</v>
      </c>
      <c r="G979" s="1" t="s">
        <v>1968</v>
      </c>
      <c r="H979" s="2">
        <v>1</v>
      </c>
      <c r="J979" s="15">
        <v>204.03</v>
      </c>
      <c r="K979" s="40">
        <v>0</v>
      </c>
    </row>
    <row r="980" spans="1:11" x14ac:dyDescent="0.25">
      <c r="A980" s="1">
        <v>1030574</v>
      </c>
      <c r="B980" s="1" t="s">
        <v>996</v>
      </c>
      <c r="D980" s="2">
        <v>0</v>
      </c>
      <c r="E980" s="2" t="s">
        <v>0</v>
      </c>
      <c r="G980" s="1" t="s">
        <v>2058</v>
      </c>
      <c r="H980" s="2">
        <v>1</v>
      </c>
      <c r="J980" s="15">
        <v>6813.68</v>
      </c>
      <c r="K980" s="40">
        <v>0</v>
      </c>
    </row>
    <row r="981" spans="1:11" x14ac:dyDescent="0.25">
      <c r="A981" s="1">
        <v>1030576</v>
      </c>
      <c r="B981" s="1" t="s">
        <v>997</v>
      </c>
      <c r="D981" s="2">
        <v>0</v>
      </c>
      <c r="E981" s="2" t="s">
        <v>0</v>
      </c>
      <c r="G981" s="1" t="s">
        <v>2058</v>
      </c>
      <c r="H981" s="2">
        <v>1</v>
      </c>
      <c r="J981" s="15">
        <v>9018.48</v>
      </c>
      <c r="K981" s="40">
        <v>0</v>
      </c>
    </row>
    <row r="982" spans="1:11" x14ac:dyDescent="0.25">
      <c r="A982" s="1">
        <v>1030577</v>
      </c>
      <c r="B982" s="1" t="s">
        <v>998</v>
      </c>
      <c r="D982" s="2">
        <v>0</v>
      </c>
      <c r="E982" s="2" t="s">
        <v>0</v>
      </c>
      <c r="G982" s="1" t="s">
        <v>2058</v>
      </c>
      <c r="H982" s="2">
        <v>1</v>
      </c>
      <c r="J982" s="15">
        <v>10130.42</v>
      </c>
      <c r="K982" s="40">
        <v>0</v>
      </c>
    </row>
    <row r="983" spans="1:11" x14ac:dyDescent="0.25">
      <c r="A983" s="1">
        <v>1030726</v>
      </c>
      <c r="B983" s="1" t="s">
        <v>999</v>
      </c>
      <c r="D983" s="2">
        <v>0</v>
      </c>
      <c r="E983" s="2" t="s">
        <v>0</v>
      </c>
      <c r="G983" s="1" t="s">
        <v>2058</v>
      </c>
      <c r="H983" s="2">
        <v>1</v>
      </c>
      <c r="I983" s="2">
        <v>7</v>
      </c>
      <c r="J983" s="15">
        <v>210.94</v>
      </c>
      <c r="K983" s="40">
        <v>0</v>
      </c>
    </row>
    <row r="984" spans="1:11" x14ac:dyDescent="0.25">
      <c r="A984" s="1">
        <v>1030861</v>
      </c>
      <c r="B984" s="1" t="s">
        <v>1000</v>
      </c>
      <c r="D984" s="2">
        <v>0</v>
      </c>
      <c r="E984" s="2" t="s">
        <v>0</v>
      </c>
      <c r="G984" s="1" t="s">
        <v>1968</v>
      </c>
      <c r="H984" s="2">
        <v>1</v>
      </c>
      <c r="J984" s="15">
        <v>38.130000000000003</v>
      </c>
      <c r="K984" s="40">
        <v>0</v>
      </c>
    </row>
    <row r="985" spans="1:11" x14ac:dyDescent="0.25">
      <c r="A985" s="1">
        <v>1031608</v>
      </c>
      <c r="B985" s="1" t="s">
        <v>1001</v>
      </c>
      <c r="D985" s="2">
        <v>0</v>
      </c>
      <c r="E985" s="2" t="s">
        <v>0</v>
      </c>
      <c r="G985" s="1" t="s">
        <v>1968</v>
      </c>
      <c r="H985" s="2">
        <v>1</v>
      </c>
      <c r="J985" s="15">
        <v>21.51</v>
      </c>
      <c r="K985" s="40">
        <v>0</v>
      </c>
    </row>
    <row r="986" spans="1:11" x14ac:dyDescent="0.25">
      <c r="A986" s="1">
        <v>1031609</v>
      </c>
      <c r="B986" s="1" t="s">
        <v>1002</v>
      </c>
      <c r="D986" s="2">
        <v>0</v>
      </c>
      <c r="E986" s="2" t="s">
        <v>0</v>
      </c>
      <c r="G986" s="1" t="s">
        <v>1968</v>
      </c>
      <c r="H986" s="2">
        <v>1</v>
      </c>
      <c r="J986" s="15">
        <v>4.43</v>
      </c>
      <c r="K986" s="40">
        <v>0</v>
      </c>
    </row>
    <row r="987" spans="1:11" x14ac:dyDescent="0.25">
      <c r="A987" s="1">
        <v>1032632</v>
      </c>
      <c r="B987" s="1" t="s">
        <v>1003</v>
      </c>
      <c r="D987" s="2">
        <v>0</v>
      </c>
      <c r="E987" s="2" t="s">
        <v>0</v>
      </c>
      <c r="G987" s="1" t="s">
        <v>786</v>
      </c>
      <c r="H987" s="2">
        <v>1</v>
      </c>
      <c r="J987" s="15">
        <v>1.3</v>
      </c>
      <c r="K987" s="40">
        <v>0</v>
      </c>
    </row>
    <row r="988" spans="1:11" x14ac:dyDescent="0.25">
      <c r="A988" s="1">
        <v>1033036</v>
      </c>
      <c r="B988" s="1" t="s">
        <v>1004</v>
      </c>
      <c r="D988" s="2">
        <v>0</v>
      </c>
      <c r="E988" s="2" t="s">
        <v>0</v>
      </c>
      <c r="G988" s="1" t="s">
        <v>1968</v>
      </c>
      <c r="H988" s="2">
        <v>1</v>
      </c>
      <c r="J988" s="15">
        <v>60.28</v>
      </c>
      <c r="K988" s="40">
        <v>0</v>
      </c>
    </row>
    <row r="989" spans="1:11" x14ac:dyDescent="0.25">
      <c r="A989" s="1">
        <v>1035157</v>
      </c>
      <c r="B989" s="1" t="s">
        <v>1005</v>
      </c>
      <c r="D989" s="2">
        <v>0</v>
      </c>
      <c r="E989" s="2" t="s">
        <v>0</v>
      </c>
      <c r="G989" s="1" t="s">
        <v>786</v>
      </c>
      <c r="H989" s="2">
        <v>1</v>
      </c>
      <c r="I989" s="2">
        <v>7</v>
      </c>
      <c r="J989" s="15">
        <v>32.75</v>
      </c>
      <c r="K989" s="40">
        <v>0</v>
      </c>
    </row>
    <row r="990" spans="1:11" x14ac:dyDescent="0.25">
      <c r="A990" s="1">
        <v>1035298</v>
      </c>
      <c r="B990" s="1" t="s">
        <v>1006</v>
      </c>
      <c r="D990" s="2">
        <v>0</v>
      </c>
      <c r="E990" s="2" t="s">
        <v>0</v>
      </c>
      <c r="G990" s="1" t="s">
        <v>786</v>
      </c>
      <c r="H990" s="2">
        <v>1</v>
      </c>
      <c r="J990" s="15">
        <v>20.34</v>
      </c>
      <c r="K990" s="40">
        <v>0</v>
      </c>
    </row>
    <row r="991" spans="1:11" x14ac:dyDescent="0.25">
      <c r="A991" s="1">
        <v>1043570</v>
      </c>
      <c r="B991" s="1" t="s">
        <v>1007</v>
      </c>
      <c r="D991" s="2">
        <v>0</v>
      </c>
      <c r="E991" s="2" t="s">
        <v>0</v>
      </c>
      <c r="G991" s="1" t="s">
        <v>1969</v>
      </c>
      <c r="H991" s="2">
        <v>1</v>
      </c>
      <c r="I991" s="2">
        <v>42</v>
      </c>
      <c r="J991" s="15">
        <v>0.62</v>
      </c>
      <c r="K991" s="40">
        <v>0</v>
      </c>
    </row>
    <row r="992" spans="1:11" x14ac:dyDescent="0.25">
      <c r="A992" s="1">
        <v>1056182</v>
      </c>
      <c r="B992" s="1" t="s">
        <v>1008</v>
      </c>
      <c r="D992" s="2">
        <v>0</v>
      </c>
      <c r="E992" s="2" t="s">
        <v>0</v>
      </c>
      <c r="G992" s="1" t="s">
        <v>1969</v>
      </c>
      <c r="H992" s="2">
        <v>1</v>
      </c>
      <c r="I992" s="2">
        <v>7</v>
      </c>
      <c r="J992" s="15">
        <v>130.71</v>
      </c>
      <c r="K992" s="40">
        <v>0</v>
      </c>
    </row>
    <row r="993" spans="1:11" x14ac:dyDescent="0.25">
      <c r="A993" s="1">
        <v>1058263</v>
      </c>
      <c r="B993" s="1" t="s">
        <v>1009</v>
      </c>
      <c r="D993" s="2">
        <v>0</v>
      </c>
      <c r="E993" s="2" t="s">
        <v>0</v>
      </c>
      <c r="G993" s="1" t="s">
        <v>1969</v>
      </c>
      <c r="H993" s="2">
        <v>1</v>
      </c>
      <c r="I993" s="2">
        <v>7</v>
      </c>
      <c r="J993" s="15">
        <v>6.61</v>
      </c>
      <c r="K993" s="40">
        <v>0</v>
      </c>
    </row>
    <row r="994" spans="1:11" x14ac:dyDescent="0.25">
      <c r="A994" s="1">
        <v>1058564</v>
      </c>
      <c r="B994" s="1" t="s">
        <v>1010</v>
      </c>
      <c r="D994" s="2">
        <v>0</v>
      </c>
      <c r="E994" s="2" t="s">
        <v>56</v>
      </c>
      <c r="G994" s="1" t="s">
        <v>1968</v>
      </c>
      <c r="H994" s="2">
        <v>1</v>
      </c>
      <c r="J994" s="15">
        <v>249.56</v>
      </c>
      <c r="K994" s="40">
        <v>0</v>
      </c>
    </row>
    <row r="995" spans="1:11" x14ac:dyDescent="0.25">
      <c r="A995" s="1">
        <v>1058735</v>
      </c>
      <c r="B995" s="1" t="s">
        <v>1011</v>
      </c>
      <c r="D995" s="2">
        <v>0</v>
      </c>
      <c r="E995" s="2" t="s">
        <v>0</v>
      </c>
      <c r="G995" s="1" t="s">
        <v>1968</v>
      </c>
      <c r="H995" s="2">
        <v>1</v>
      </c>
      <c r="J995" s="15">
        <v>24.89</v>
      </c>
      <c r="K995" s="40">
        <v>0</v>
      </c>
    </row>
    <row r="996" spans="1:11" x14ac:dyDescent="0.25">
      <c r="A996" s="1">
        <v>1058736</v>
      </c>
      <c r="B996" s="1" t="s">
        <v>1012</v>
      </c>
      <c r="D996" s="2">
        <v>0</v>
      </c>
      <c r="E996" s="2" t="s">
        <v>0</v>
      </c>
      <c r="G996" s="1" t="s">
        <v>1968</v>
      </c>
      <c r="H996" s="2">
        <v>1</v>
      </c>
      <c r="J996" s="15">
        <v>21.56</v>
      </c>
      <c r="K996" s="40">
        <v>0</v>
      </c>
    </row>
    <row r="997" spans="1:11" x14ac:dyDescent="0.25">
      <c r="A997" s="1">
        <v>1059113</v>
      </c>
      <c r="B997" s="1" t="s">
        <v>1013</v>
      </c>
      <c r="D997" s="2">
        <v>0</v>
      </c>
      <c r="E997" s="2" t="s">
        <v>0</v>
      </c>
      <c r="G997" s="1" t="s">
        <v>1968</v>
      </c>
      <c r="H997" s="2">
        <v>1</v>
      </c>
      <c r="J997" s="15">
        <v>210.4</v>
      </c>
      <c r="K997" s="40">
        <v>0</v>
      </c>
    </row>
    <row r="998" spans="1:11" x14ac:dyDescent="0.25">
      <c r="A998" s="1">
        <v>1059114</v>
      </c>
      <c r="B998" s="1" t="s">
        <v>1014</v>
      </c>
      <c r="D998" s="2">
        <v>0</v>
      </c>
      <c r="E998" s="2" t="s">
        <v>0</v>
      </c>
      <c r="G998" s="1" t="s">
        <v>1968</v>
      </c>
      <c r="H998" s="2">
        <v>1</v>
      </c>
      <c r="J998" s="15">
        <v>333.14</v>
      </c>
      <c r="K998" s="40">
        <v>0</v>
      </c>
    </row>
    <row r="999" spans="1:11" x14ac:dyDescent="0.25">
      <c r="A999" s="1">
        <v>1059120</v>
      </c>
      <c r="B999" s="1" t="s">
        <v>1015</v>
      </c>
      <c r="D999" s="2">
        <v>0</v>
      </c>
      <c r="E999" s="2" t="s">
        <v>0</v>
      </c>
      <c r="G999" s="1" t="s">
        <v>1968</v>
      </c>
      <c r="H999" s="2">
        <v>1</v>
      </c>
      <c r="J999" s="15">
        <v>562.20000000000005</v>
      </c>
      <c r="K999" s="40">
        <v>0</v>
      </c>
    </row>
    <row r="1000" spans="1:11" x14ac:dyDescent="0.25">
      <c r="A1000" s="1">
        <v>1059165</v>
      </c>
      <c r="B1000" s="1" t="s">
        <v>1016</v>
      </c>
      <c r="D1000" s="2">
        <v>0</v>
      </c>
      <c r="E1000" s="2" t="s">
        <v>0</v>
      </c>
      <c r="G1000" s="1" t="s">
        <v>1970</v>
      </c>
      <c r="H1000" s="2">
        <v>1</v>
      </c>
      <c r="I1000" s="2">
        <v>42</v>
      </c>
      <c r="K1000" s="40">
        <v>0</v>
      </c>
    </row>
    <row r="1001" spans="1:11" x14ac:dyDescent="0.25">
      <c r="A1001" s="1">
        <v>1060753</v>
      </c>
      <c r="B1001" s="1" t="s">
        <v>1017</v>
      </c>
      <c r="D1001" s="2">
        <v>0</v>
      </c>
      <c r="E1001" s="2" t="s">
        <v>0</v>
      </c>
      <c r="G1001" s="1" t="s">
        <v>1969</v>
      </c>
      <c r="H1001" s="2">
        <v>1</v>
      </c>
      <c r="I1001" s="2">
        <v>7</v>
      </c>
      <c r="J1001" s="15">
        <v>1.96</v>
      </c>
      <c r="K1001" s="40">
        <v>0</v>
      </c>
    </row>
    <row r="1002" spans="1:11" x14ac:dyDescent="0.25">
      <c r="A1002" s="1">
        <v>1060754</v>
      </c>
      <c r="B1002" s="1" t="s">
        <v>1018</v>
      </c>
      <c r="D1002" s="2">
        <v>0</v>
      </c>
      <c r="E1002" s="2" t="s">
        <v>0</v>
      </c>
      <c r="G1002" s="1" t="s">
        <v>1969</v>
      </c>
      <c r="H1002" s="2">
        <v>1</v>
      </c>
      <c r="I1002" s="2">
        <v>7</v>
      </c>
      <c r="J1002" s="15">
        <v>2.02</v>
      </c>
      <c r="K1002" s="40">
        <v>0</v>
      </c>
    </row>
    <row r="1003" spans="1:11" x14ac:dyDescent="0.25">
      <c r="A1003" s="1">
        <v>1060756</v>
      </c>
      <c r="B1003" s="1" t="s">
        <v>1019</v>
      </c>
      <c r="D1003" s="2">
        <v>0</v>
      </c>
      <c r="E1003" s="2" t="s">
        <v>0</v>
      </c>
      <c r="G1003" s="1" t="s">
        <v>1969</v>
      </c>
      <c r="H1003" s="2">
        <v>1</v>
      </c>
      <c r="I1003" s="2">
        <v>7</v>
      </c>
      <c r="J1003" s="15">
        <v>1.96</v>
      </c>
      <c r="K1003" s="40">
        <v>0</v>
      </c>
    </row>
    <row r="1004" spans="1:11" x14ac:dyDescent="0.25">
      <c r="A1004" s="1">
        <v>1060956</v>
      </c>
      <c r="B1004" s="1" t="s">
        <v>1020</v>
      </c>
      <c r="D1004" s="2">
        <v>0</v>
      </c>
      <c r="E1004" s="2" t="s">
        <v>0</v>
      </c>
      <c r="G1004" s="1" t="s">
        <v>1969</v>
      </c>
      <c r="H1004" s="2">
        <v>1</v>
      </c>
      <c r="I1004" s="2">
        <v>14</v>
      </c>
      <c r="J1004" s="15">
        <v>1.42</v>
      </c>
      <c r="K1004" s="40">
        <v>0</v>
      </c>
    </row>
    <row r="1005" spans="1:11" x14ac:dyDescent="0.25">
      <c r="A1005" s="1">
        <v>1060992</v>
      </c>
      <c r="B1005" s="1" t="s">
        <v>1021</v>
      </c>
      <c r="D1005" s="2">
        <v>0</v>
      </c>
      <c r="E1005" s="2" t="s">
        <v>0</v>
      </c>
      <c r="G1005" s="1" t="s">
        <v>1969</v>
      </c>
      <c r="H1005" s="2">
        <v>1</v>
      </c>
      <c r="I1005" s="2">
        <v>14</v>
      </c>
      <c r="J1005" s="15">
        <v>3.23</v>
      </c>
      <c r="K1005" s="40">
        <v>0</v>
      </c>
    </row>
    <row r="1006" spans="1:11" x14ac:dyDescent="0.25">
      <c r="A1006" s="1">
        <v>1061000</v>
      </c>
      <c r="B1006" s="1" t="s">
        <v>1022</v>
      </c>
      <c r="D1006" s="2">
        <v>0</v>
      </c>
      <c r="E1006" s="2" t="s">
        <v>0</v>
      </c>
      <c r="G1006" s="1" t="s">
        <v>1969</v>
      </c>
      <c r="H1006" s="2">
        <v>1</v>
      </c>
      <c r="I1006" s="2">
        <v>21</v>
      </c>
      <c r="J1006" s="15">
        <v>1.39</v>
      </c>
      <c r="K1006" s="40">
        <v>0</v>
      </c>
    </row>
    <row r="1007" spans="1:11" x14ac:dyDescent="0.25">
      <c r="A1007" s="1">
        <v>1061709</v>
      </c>
      <c r="B1007" s="1" t="s">
        <v>1023</v>
      </c>
      <c r="D1007" s="2">
        <v>0</v>
      </c>
      <c r="E1007" s="2" t="s">
        <v>0</v>
      </c>
      <c r="G1007" s="1" t="s">
        <v>1968</v>
      </c>
      <c r="H1007" s="2">
        <v>1</v>
      </c>
      <c r="J1007" s="15">
        <v>0.7</v>
      </c>
      <c r="K1007" s="40">
        <v>0</v>
      </c>
    </row>
    <row r="1008" spans="1:11" x14ac:dyDescent="0.25">
      <c r="A1008" s="1">
        <v>1062026</v>
      </c>
      <c r="B1008" s="1" t="s">
        <v>1024</v>
      </c>
      <c r="D1008" s="2">
        <v>0</v>
      </c>
      <c r="E1008" s="2" t="s">
        <v>0</v>
      </c>
      <c r="G1008" s="1" t="s">
        <v>786</v>
      </c>
      <c r="H1008" s="2">
        <v>1</v>
      </c>
      <c r="I1008" s="2">
        <v>7</v>
      </c>
      <c r="J1008" s="15">
        <v>0.85</v>
      </c>
      <c r="K1008" s="40">
        <v>0</v>
      </c>
    </row>
    <row r="1009" spans="1:11" x14ac:dyDescent="0.25">
      <c r="A1009" s="1">
        <v>1064351</v>
      </c>
      <c r="B1009" s="1" t="s">
        <v>1025</v>
      </c>
      <c r="D1009" s="2">
        <v>0</v>
      </c>
      <c r="E1009" s="2" t="s">
        <v>0</v>
      </c>
      <c r="G1009" s="1" t="s">
        <v>1968</v>
      </c>
      <c r="H1009" s="2">
        <v>1</v>
      </c>
      <c r="J1009" s="15">
        <v>61.09</v>
      </c>
      <c r="K1009" s="40">
        <v>0</v>
      </c>
    </row>
    <row r="1010" spans="1:11" x14ac:dyDescent="0.25">
      <c r="A1010" s="1">
        <v>1064362</v>
      </c>
      <c r="B1010" s="1" t="s">
        <v>2057</v>
      </c>
      <c r="D1010" s="2">
        <v>0</v>
      </c>
      <c r="E1010" s="2" t="s">
        <v>0</v>
      </c>
      <c r="G1010" s="1" t="s">
        <v>1968</v>
      </c>
      <c r="H1010" s="2">
        <v>1</v>
      </c>
      <c r="J1010" s="15">
        <v>121.28</v>
      </c>
      <c r="K1010" s="40">
        <v>0</v>
      </c>
    </row>
    <row r="1011" spans="1:11" x14ac:dyDescent="0.25">
      <c r="A1011" s="1">
        <v>1065472</v>
      </c>
      <c r="B1011" s="1" t="s">
        <v>1026</v>
      </c>
      <c r="D1011" s="2">
        <v>0</v>
      </c>
      <c r="E1011" s="2" t="s">
        <v>0</v>
      </c>
      <c r="G1011" s="1" t="s">
        <v>1968</v>
      </c>
      <c r="H1011" s="2">
        <v>1</v>
      </c>
      <c r="J1011" s="15">
        <v>18.73</v>
      </c>
      <c r="K1011" s="40">
        <v>0</v>
      </c>
    </row>
    <row r="1012" spans="1:11" x14ac:dyDescent="0.25">
      <c r="A1012" s="1">
        <v>1069032</v>
      </c>
      <c r="B1012" s="1" t="s">
        <v>1027</v>
      </c>
      <c r="D1012" s="2">
        <v>0</v>
      </c>
      <c r="E1012" s="2" t="s">
        <v>0</v>
      </c>
      <c r="G1012" s="1" t="s">
        <v>1968</v>
      </c>
      <c r="H1012" s="2">
        <v>1</v>
      </c>
      <c r="J1012" s="15">
        <v>95.22</v>
      </c>
      <c r="K1012" s="40">
        <v>0</v>
      </c>
    </row>
    <row r="1013" spans="1:11" x14ac:dyDescent="0.25">
      <c r="A1013" s="1">
        <v>1069887</v>
      </c>
      <c r="B1013" s="1" t="s">
        <v>1028</v>
      </c>
      <c r="D1013" s="2">
        <v>0</v>
      </c>
      <c r="E1013" s="2" t="s">
        <v>0</v>
      </c>
      <c r="G1013" s="1" t="s">
        <v>1969</v>
      </c>
      <c r="H1013" s="2">
        <v>1</v>
      </c>
      <c r="I1013" s="2">
        <v>28</v>
      </c>
      <c r="J1013" s="15">
        <v>27.83</v>
      </c>
      <c r="K1013" s="40">
        <v>0</v>
      </c>
    </row>
    <row r="1014" spans="1:11" x14ac:dyDescent="0.25">
      <c r="A1014" s="1">
        <v>1069902</v>
      </c>
      <c r="B1014" s="1" t="s">
        <v>1029</v>
      </c>
      <c r="D1014" s="2">
        <v>0</v>
      </c>
      <c r="E1014" s="2" t="s">
        <v>0</v>
      </c>
      <c r="G1014" s="1" t="s">
        <v>1968</v>
      </c>
      <c r="H1014" s="2">
        <v>1</v>
      </c>
      <c r="J1014" s="15">
        <v>20.76</v>
      </c>
      <c r="K1014" s="40">
        <v>0</v>
      </c>
    </row>
    <row r="1015" spans="1:11" x14ac:dyDescent="0.25">
      <c r="A1015" s="1">
        <v>1069906</v>
      </c>
      <c r="B1015" s="1" t="s">
        <v>1030</v>
      </c>
      <c r="D1015" s="2">
        <v>0</v>
      </c>
      <c r="E1015" s="2" t="s">
        <v>0</v>
      </c>
      <c r="G1015" s="1" t="s">
        <v>1968</v>
      </c>
      <c r="H1015" s="2">
        <v>1</v>
      </c>
      <c r="J1015" s="15">
        <v>23</v>
      </c>
      <c r="K1015" s="40">
        <v>0</v>
      </c>
    </row>
    <row r="1016" spans="1:11" x14ac:dyDescent="0.25">
      <c r="A1016" s="1">
        <v>1070055</v>
      </c>
      <c r="B1016" s="1" t="s">
        <v>1031</v>
      </c>
      <c r="D1016" s="2">
        <v>0</v>
      </c>
      <c r="E1016" s="2" t="s">
        <v>0</v>
      </c>
      <c r="G1016" s="1" t="s">
        <v>1969</v>
      </c>
      <c r="H1016" s="2">
        <v>1</v>
      </c>
      <c r="I1016" s="2">
        <v>42</v>
      </c>
      <c r="J1016" s="15">
        <v>15.13</v>
      </c>
      <c r="K1016" s="40">
        <v>0</v>
      </c>
    </row>
    <row r="1017" spans="1:11" x14ac:dyDescent="0.25">
      <c r="A1017" s="1">
        <v>1075821</v>
      </c>
      <c r="B1017" s="1" t="s">
        <v>1032</v>
      </c>
      <c r="D1017" s="2">
        <v>0</v>
      </c>
      <c r="E1017" s="2" t="s">
        <v>56</v>
      </c>
      <c r="G1017" s="1" t="s">
        <v>1969</v>
      </c>
      <c r="H1017" s="2">
        <v>1</v>
      </c>
      <c r="I1017" s="2">
        <v>7</v>
      </c>
      <c r="J1017" s="15">
        <v>5.59</v>
      </c>
      <c r="K1017" s="40">
        <v>0</v>
      </c>
    </row>
    <row r="1018" spans="1:11" x14ac:dyDescent="0.25">
      <c r="A1018" s="1">
        <v>1076047</v>
      </c>
      <c r="B1018" s="1" t="s">
        <v>1033</v>
      </c>
      <c r="D1018" s="2">
        <v>0</v>
      </c>
      <c r="E1018" s="2" t="s">
        <v>0</v>
      </c>
      <c r="G1018" s="1" t="s">
        <v>1969</v>
      </c>
      <c r="H1018" s="2">
        <v>50</v>
      </c>
      <c r="I1018" s="2">
        <v>7</v>
      </c>
      <c r="J1018" s="15">
        <v>9.6</v>
      </c>
      <c r="K1018" s="40">
        <v>0</v>
      </c>
    </row>
    <row r="1019" spans="1:11" x14ac:dyDescent="0.25">
      <c r="A1019" s="1">
        <v>1076051</v>
      </c>
      <c r="B1019" s="1" t="s">
        <v>1034</v>
      </c>
      <c r="D1019" s="2">
        <v>0</v>
      </c>
      <c r="E1019" s="2" t="s">
        <v>0</v>
      </c>
      <c r="G1019" s="1" t="s">
        <v>1969</v>
      </c>
      <c r="H1019" s="2">
        <v>1</v>
      </c>
      <c r="I1019" s="2">
        <v>28</v>
      </c>
      <c r="J1019" s="15">
        <v>33.53</v>
      </c>
      <c r="K1019" s="40">
        <v>0</v>
      </c>
    </row>
    <row r="1020" spans="1:11" x14ac:dyDescent="0.25">
      <c r="A1020" s="1">
        <v>1076201</v>
      </c>
      <c r="B1020" s="1" t="s">
        <v>1035</v>
      </c>
      <c r="D1020" s="2">
        <v>0</v>
      </c>
      <c r="E1020" s="2" t="s">
        <v>0</v>
      </c>
      <c r="G1020" s="1" t="s">
        <v>1968</v>
      </c>
      <c r="H1020" s="2">
        <v>1</v>
      </c>
      <c r="J1020" s="15">
        <v>5.14</v>
      </c>
      <c r="K1020" s="40">
        <v>0</v>
      </c>
    </row>
    <row r="1021" spans="1:11" x14ac:dyDescent="0.25">
      <c r="A1021" s="1">
        <v>1076218</v>
      </c>
      <c r="B1021" s="1" t="s">
        <v>1036</v>
      </c>
      <c r="D1021" s="2">
        <v>0</v>
      </c>
      <c r="E1021" s="2" t="s">
        <v>0</v>
      </c>
      <c r="G1021" s="1" t="s">
        <v>2058</v>
      </c>
      <c r="H1021" s="2">
        <v>1</v>
      </c>
      <c r="I1021" s="2">
        <v>14</v>
      </c>
      <c r="J1021" s="15">
        <v>1465.98</v>
      </c>
      <c r="K1021" s="40">
        <v>0</v>
      </c>
    </row>
    <row r="1022" spans="1:11" x14ac:dyDescent="0.25">
      <c r="A1022" s="1">
        <v>1076351</v>
      </c>
      <c r="B1022" s="1" t="s">
        <v>1037</v>
      </c>
      <c r="D1022" s="2">
        <v>0</v>
      </c>
      <c r="E1022" s="2" t="s">
        <v>0</v>
      </c>
      <c r="G1022" s="1" t="s">
        <v>1969</v>
      </c>
      <c r="H1022" s="2">
        <v>1</v>
      </c>
      <c r="I1022" s="2">
        <v>35</v>
      </c>
      <c r="J1022" s="15">
        <v>181.25</v>
      </c>
      <c r="K1022" s="40">
        <v>0</v>
      </c>
    </row>
    <row r="1023" spans="1:11" x14ac:dyDescent="0.25">
      <c r="A1023" s="1">
        <v>1076428</v>
      </c>
      <c r="B1023" s="1" t="s">
        <v>1038</v>
      </c>
      <c r="D1023" s="2">
        <v>0</v>
      </c>
      <c r="E1023" s="2" t="s">
        <v>0</v>
      </c>
      <c r="G1023" s="1" t="s">
        <v>1969</v>
      </c>
      <c r="H1023" s="2">
        <v>1</v>
      </c>
      <c r="I1023" s="2">
        <v>28</v>
      </c>
      <c r="J1023" s="15">
        <v>12.45</v>
      </c>
      <c r="K1023" s="40">
        <v>0</v>
      </c>
    </row>
    <row r="1024" spans="1:11" x14ac:dyDescent="0.25">
      <c r="A1024" s="1">
        <v>1076445</v>
      </c>
      <c r="B1024" s="1" t="s">
        <v>1039</v>
      </c>
      <c r="D1024" s="2">
        <v>0</v>
      </c>
      <c r="E1024" s="2" t="s">
        <v>0</v>
      </c>
      <c r="G1024" s="1" t="s">
        <v>1969</v>
      </c>
      <c r="H1024" s="2">
        <v>1</v>
      </c>
      <c r="I1024" s="2">
        <v>28</v>
      </c>
      <c r="J1024" s="15">
        <v>5.17</v>
      </c>
      <c r="K1024" s="40">
        <v>0</v>
      </c>
    </row>
    <row r="1025" spans="1:11" x14ac:dyDescent="0.25">
      <c r="A1025" s="1">
        <v>1076506</v>
      </c>
      <c r="B1025" s="1" t="s">
        <v>1040</v>
      </c>
      <c r="D1025" s="2">
        <v>0</v>
      </c>
      <c r="E1025" s="2" t="s">
        <v>0</v>
      </c>
      <c r="G1025" s="1" t="s">
        <v>1968</v>
      </c>
      <c r="H1025" s="2">
        <v>1</v>
      </c>
      <c r="J1025" s="15">
        <v>6.2</v>
      </c>
      <c r="K1025" s="40">
        <v>0</v>
      </c>
    </row>
    <row r="1026" spans="1:11" x14ac:dyDescent="0.25">
      <c r="A1026" s="1">
        <v>1076514</v>
      </c>
      <c r="B1026" s="1" t="s">
        <v>1041</v>
      </c>
      <c r="D1026" s="2">
        <v>0</v>
      </c>
      <c r="E1026" s="2" t="s">
        <v>0</v>
      </c>
      <c r="G1026" s="1" t="s">
        <v>1969</v>
      </c>
      <c r="H1026" s="2">
        <v>1</v>
      </c>
      <c r="I1026" s="2">
        <v>28</v>
      </c>
      <c r="J1026" s="15">
        <v>23.73</v>
      </c>
      <c r="K1026" s="40">
        <v>0</v>
      </c>
    </row>
    <row r="1027" spans="1:11" x14ac:dyDescent="0.25">
      <c r="A1027" s="1">
        <v>1076663</v>
      </c>
      <c r="B1027" s="1" t="s">
        <v>1042</v>
      </c>
      <c r="D1027" s="2">
        <v>0</v>
      </c>
      <c r="E1027" s="2" t="s">
        <v>0</v>
      </c>
      <c r="G1027" s="1" t="s">
        <v>1969</v>
      </c>
      <c r="H1027" s="2">
        <v>1</v>
      </c>
      <c r="I1027" s="2">
        <v>35</v>
      </c>
      <c r="K1027" s="40">
        <v>0</v>
      </c>
    </row>
    <row r="1028" spans="1:11" x14ac:dyDescent="0.25">
      <c r="A1028" s="1">
        <v>1077517</v>
      </c>
      <c r="B1028" s="1" t="s">
        <v>1043</v>
      </c>
      <c r="D1028" s="2">
        <v>0</v>
      </c>
      <c r="E1028" s="2" t="s">
        <v>0</v>
      </c>
      <c r="G1028" s="1" t="s">
        <v>1968</v>
      </c>
      <c r="H1028" s="2">
        <v>1</v>
      </c>
      <c r="J1028" s="15">
        <v>57.24</v>
      </c>
      <c r="K1028" s="40">
        <v>0</v>
      </c>
    </row>
    <row r="1029" spans="1:11" x14ac:dyDescent="0.25">
      <c r="A1029" s="1">
        <v>1077548</v>
      </c>
      <c r="B1029" s="1" t="s">
        <v>1044</v>
      </c>
      <c r="D1029" s="2">
        <v>0</v>
      </c>
      <c r="E1029" s="2" t="s">
        <v>0</v>
      </c>
      <c r="G1029" s="1" t="s">
        <v>1968</v>
      </c>
      <c r="H1029" s="2">
        <v>1</v>
      </c>
      <c r="J1029" s="15">
        <v>57.24</v>
      </c>
      <c r="K1029" s="40">
        <v>0</v>
      </c>
    </row>
    <row r="1030" spans="1:11" x14ac:dyDescent="0.25">
      <c r="A1030" s="1">
        <v>1077560</v>
      </c>
      <c r="B1030" s="1" t="s">
        <v>1045</v>
      </c>
      <c r="D1030" s="2">
        <v>0</v>
      </c>
      <c r="E1030" s="2" t="s">
        <v>0</v>
      </c>
      <c r="G1030" s="1" t="s">
        <v>1968</v>
      </c>
      <c r="H1030" s="2">
        <v>1</v>
      </c>
      <c r="J1030" s="15">
        <v>58.8</v>
      </c>
      <c r="K1030" s="40">
        <v>0</v>
      </c>
    </row>
    <row r="1031" spans="1:11" x14ac:dyDescent="0.25">
      <c r="A1031" s="1">
        <v>1077803</v>
      </c>
      <c r="B1031" s="1" t="s">
        <v>1046</v>
      </c>
      <c r="D1031" s="2">
        <v>0</v>
      </c>
      <c r="E1031" s="2" t="s">
        <v>0</v>
      </c>
      <c r="G1031" s="1" t="s">
        <v>786</v>
      </c>
      <c r="H1031" s="2">
        <v>1</v>
      </c>
      <c r="I1031" s="2">
        <v>28</v>
      </c>
      <c r="K1031" s="40">
        <v>0</v>
      </c>
    </row>
    <row r="1032" spans="1:11" x14ac:dyDescent="0.25">
      <c r="A1032" s="1">
        <v>1078084</v>
      </c>
      <c r="B1032" s="1" t="s">
        <v>1047</v>
      </c>
      <c r="D1032" s="2">
        <v>0</v>
      </c>
      <c r="E1032" s="2" t="s">
        <v>0</v>
      </c>
      <c r="G1032" s="1" t="s">
        <v>1968</v>
      </c>
      <c r="H1032" s="2">
        <v>1</v>
      </c>
      <c r="J1032" s="15">
        <v>75.010000000000005</v>
      </c>
      <c r="K1032" s="40">
        <v>0</v>
      </c>
    </row>
    <row r="1033" spans="1:11" x14ac:dyDescent="0.25">
      <c r="A1033" s="1">
        <v>1078085</v>
      </c>
      <c r="B1033" s="1" t="s">
        <v>1048</v>
      </c>
      <c r="D1033" s="2">
        <v>0</v>
      </c>
      <c r="E1033" s="2" t="s">
        <v>0</v>
      </c>
      <c r="G1033" s="1" t="s">
        <v>1968</v>
      </c>
      <c r="H1033" s="2">
        <v>1</v>
      </c>
      <c r="J1033" s="15">
        <v>73.92</v>
      </c>
      <c r="K1033" s="40">
        <v>0</v>
      </c>
    </row>
    <row r="1034" spans="1:11" x14ac:dyDescent="0.25">
      <c r="A1034" s="1">
        <v>1078183</v>
      </c>
      <c r="B1034" s="1" t="s">
        <v>1049</v>
      </c>
      <c r="D1034" s="2">
        <v>0</v>
      </c>
      <c r="E1034" s="2" t="s">
        <v>0</v>
      </c>
      <c r="G1034" s="1" t="s">
        <v>1968</v>
      </c>
      <c r="H1034" s="2">
        <v>1</v>
      </c>
      <c r="J1034" s="15">
        <v>9.5500000000000007</v>
      </c>
      <c r="K1034" s="40">
        <v>0</v>
      </c>
    </row>
    <row r="1035" spans="1:11" x14ac:dyDescent="0.25">
      <c r="A1035" s="1">
        <v>1078185</v>
      </c>
      <c r="B1035" s="1" t="s">
        <v>1050</v>
      </c>
      <c r="D1035" s="2">
        <v>0</v>
      </c>
      <c r="E1035" s="2" t="s">
        <v>0</v>
      </c>
      <c r="G1035" s="1" t="s">
        <v>1969</v>
      </c>
      <c r="H1035" s="2">
        <v>1</v>
      </c>
      <c r="I1035" s="2">
        <v>7</v>
      </c>
      <c r="J1035" s="15">
        <v>4.7</v>
      </c>
      <c r="K1035" s="40">
        <v>0</v>
      </c>
    </row>
    <row r="1036" spans="1:11" x14ac:dyDescent="0.25">
      <c r="A1036" s="1">
        <v>1078187</v>
      </c>
      <c r="B1036" s="1" t="s">
        <v>1049</v>
      </c>
      <c r="D1036" s="2">
        <v>0</v>
      </c>
      <c r="E1036" s="2" t="s">
        <v>0</v>
      </c>
      <c r="G1036" s="1" t="s">
        <v>1968</v>
      </c>
      <c r="H1036" s="2">
        <v>1</v>
      </c>
      <c r="J1036" s="15">
        <v>6.59</v>
      </c>
      <c r="K1036" s="40">
        <v>0</v>
      </c>
    </row>
    <row r="1037" spans="1:11" x14ac:dyDescent="0.25">
      <c r="A1037" s="1">
        <v>1078398</v>
      </c>
      <c r="B1037" s="1" t="s">
        <v>1051</v>
      </c>
      <c r="D1037" s="2">
        <v>0</v>
      </c>
      <c r="E1037" s="2" t="s">
        <v>0</v>
      </c>
      <c r="G1037" s="1" t="s">
        <v>1969</v>
      </c>
      <c r="H1037" s="2">
        <v>1</v>
      </c>
      <c r="I1037" s="2">
        <v>21</v>
      </c>
      <c r="J1037" s="15">
        <v>2.25</v>
      </c>
      <c r="K1037" s="40">
        <v>0</v>
      </c>
    </row>
    <row r="1038" spans="1:11" x14ac:dyDescent="0.25">
      <c r="A1038" s="1">
        <v>1078399</v>
      </c>
      <c r="B1038" s="1" t="s">
        <v>1052</v>
      </c>
      <c r="D1038" s="2">
        <v>0</v>
      </c>
      <c r="E1038" s="2" t="s">
        <v>0</v>
      </c>
      <c r="G1038" s="1" t="s">
        <v>1969</v>
      </c>
      <c r="H1038" s="2">
        <v>1</v>
      </c>
      <c r="I1038" s="2">
        <v>21</v>
      </c>
      <c r="J1038" s="15">
        <v>2.25</v>
      </c>
      <c r="K1038" s="40">
        <v>0</v>
      </c>
    </row>
    <row r="1039" spans="1:11" x14ac:dyDescent="0.25">
      <c r="A1039" s="1">
        <v>1078428</v>
      </c>
      <c r="B1039" s="1" t="s">
        <v>1053</v>
      </c>
      <c r="D1039" s="2">
        <v>0</v>
      </c>
      <c r="E1039" s="2" t="s">
        <v>0</v>
      </c>
      <c r="G1039" s="1" t="s">
        <v>1968</v>
      </c>
      <c r="H1039" s="2">
        <v>1</v>
      </c>
      <c r="J1039" s="15">
        <v>24.79</v>
      </c>
      <c r="K1039" s="40">
        <v>0</v>
      </c>
    </row>
    <row r="1040" spans="1:11" x14ac:dyDescent="0.25">
      <c r="A1040" s="1">
        <v>1078431</v>
      </c>
      <c r="B1040" s="1" t="s">
        <v>1054</v>
      </c>
      <c r="D1040" s="2">
        <v>0</v>
      </c>
      <c r="E1040" s="2" t="s">
        <v>0</v>
      </c>
      <c r="G1040" s="1" t="s">
        <v>1968</v>
      </c>
      <c r="H1040" s="2">
        <v>1</v>
      </c>
      <c r="J1040" s="15">
        <v>41.12</v>
      </c>
      <c r="K1040" s="40">
        <v>0</v>
      </c>
    </row>
    <row r="1041" spans="1:11" x14ac:dyDescent="0.25">
      <c r="A1041" s="1">
        <v>1079170</v>
      </c>
      <c r="B1041" s="1" t="s">
        <v>1055</v>
      </c>
      <c r="D1041" s="2">
        <v>0</v>
      </c>
      <c r="E1041" s="2" t="s">
        <v>54</v>
      </c>
      <c r="G1041" s="1" t="s">
        <v>1968</v>
      </c>
      <c r="H1041" s="2">
        <v>1</v>
      </c>
      <c r="J1041" s="15">
        <v>23.53</v>
      </c>
      <c r="K1041" s="40">
        <v>0</v>
      </c>
    </row>
    <row r="1042" spans="1:11" x14ac:dyDescent="0.25">
      <c r="A1042" s="1">
        <v>1079750</v>
      </c>
      <c r="B1042" s="1" t="s">
        <v>1056</v>
      </c>
      <c r="D1042" s="2">
        <v>0</v>
      </c>
      <c r="E1042" s="2" t="s">
        <v>131</v>
      </c>
      <c r="G1042" s="1" t="s">
        <v>1969</v>
      </c>
      <c r="H1042" s="2">
        <v>1</v>
      </c>
      <c r="I1042" s="2">
        <v>7</v>
      </c>
      <c r="J1042" s="15">
        <v>11.96</v>
      </c>
      <c r="K1042" s="40">
        <v>0</v>
      </c>
    </row>
    <row r="1043" spans="1:11" x14ac:dyDescent="0.25">
      <c r="A1043" s="1">
        <v>1079981</v>
      </c>
      <c r="B1043" s="1" t="s">
        <v>1057</v>
      </c>
      <c r="D1043" s="2">
        <v>0</v>
      </c>
      <c r="E1043" s="2" t="s">
        <v>56</v>
      </c>
      <c r="G1043" s="1" t="s">
        <v>786</v>
      </c>
      <c r="H1043" s="2">
        <v>1</v>
      </c>
      <c r="I1043" s="2">
        <v>14</v>
      </c>
      <c r="J1043" s="15">
        <v>11.36</v>
      </c>
      <c r="K1043" s="40">
        <v>0</v>
      </c>
    </row>
    <row r="1044" spans="1:11" x14ac:dyDescent="0.25">
      <c r="A1044" s="1">
        <v>1082716</v>
      </c>
      <c r="B1044" s="1" t="s">
        <v>1058</v>
      </c>
      <c r="D1044" s="2">
        <v>0</v>
      </c>
      <c r="E1044" s="2" t="s">
        <v>0</v>
      </c>
      <c r="G1044" s="1" t="s">
        <v>1969</v>
      </c>
      <c r="H1044" s="2">
        <v>1</v>
      </c>
      <c r="I1044" s="2">
        <v>21</v>
      </c>
      <c r="J1044" s="15">
        <v>450.61</v>
      </c>
      <c r="K1044" s="40">
        <v>0</v>
      </c>
    </row>
    <row r="1045" spans="1:11" x14ac:dyDescent="0.25">
      <c r="A1045" s="1">
        <v>1082956</v>
      </c>
      <c r="B1045" s="1" t="s">
        <v>1059</v>
      </c>
      <c r="D1045" s="2">
        <v>0</v>
      </c>
      <c r="E1045" s="2" t="s">
        <v>131</v>
      </c>
      <c r="G1045" s="1" t="s">
        <v>1968</v>
      </c>
      <c r="H1045" s="2">
        <v>1</v>
      </c>
      <c r="J1045" s="15">
        <v>28.17</v>
      </c>
      <c r="K1045" s="40">
        <v>0</v>
      </c>
    </row>
    <row r="1046" spans="1:11" x14ac:dyDescent="0.25">
      <c r="A1046" s="1">
        <v>1083185</v>
      </c>
      <c r="B1046" s="1" t="s">
        <v>1060</v>
      </c>
      <c r="D1046" s="2">
        <v>0</v>
      </c>
      <c r="E1046" s="2" t="s">
        <v>0</v>
      </c>
      <c r="G1046" s="1" t="s">
        <v>786</v>
      </c>
      <c r="H1046" s="2">
        <v>1</v>
      </c>
      <c r="I1046" s="2">
        <v>28</v>
      </c>
      <c r="J1046" s="15">
        <v>6.93</v>
      </c>
      <c r="K1046" s="40">
        <v>0</v>
      </c>
    </row>
    <row r="1047" spans="1:11" x14ac:dyDescent="0.25">
      <c r="A1047" s="1">
        <v>1083193</v>
      </c>
      <c r="B1047" s="1" t="s">
        <v>1061</v>
      </c>
      <c r="D1047" s="2">
        <v>0</v>
      </c>
      <c r="E1047" s="2" t="s">
        <v>131</v>
      </c>
      <c r="G1047" s="1" t="s">
        <v>786</v>
      </c>
      <c r="H1047" s="2">
        <v>1</v>
      </c>
      <c r="I1047" s="2">
        <v>28</v>
      </c>
      <c r="J1047" s="15">
        <v>8.66</v>
      </c>
      <c r="K1047" s="40">
        <v>0</v>
      </c>
    </row>
    <row r="1048" spans="1:11" x14ac:dyDescent="0.25">
      <c r="A1048" s="1">
        <v>1083206</v>
      </c>
      <c r="B1048" s="1" t="s">
        <v>1062</v>
      </c>
      <c r="D1048" s="2">
        <v>0</v>
      </c>
      <c r="E1048" s="2" t="s">
        <v>0</v>
      </c>
      <c r="G1048" s="1" t="s">
        <v>1969</v>
      </c>
      <c r="H1048" s="2">
        <v>1</v>
      </c>
      <c r="I1048" s="2">
        <v>7</v>
      </c>
      <c r="J1048" s="15">
        <v>5.17</v>
      </c>
      <c r="K1048" s="40">
        <v>0</v>
      </c>
    </row>
    <row r="1049" spans="1:11" x14ac:dyDescent="0.25">
      <c r="A1049" s="1">
        <v>1083261</v>
      </c>
      <c r="B1049" s="1" t="s">
        <v>1063</v>
      </c>
      <c r="D1049" s="2">
        <v>0</v>
      </c>
      <c r="E1049" s="2" t="s">
        <v>0</v>
      </c>
      <c r="G1049" s="1" t="s">
        <v>1968</v>
      </c>
      <c r="H1049" s="2">
        <v>1</v>
      </c>
      <c r="J1049" s="15">
        <v>5.64</v>
      </c>
      <c r="K1049" s="40">
        <v>0</v>
      </c>
    </row>
    <row r="1050" spans="1:11" x14ac:dyDescent="0.25">
      <c r="A1050" s="1">
        <v>1083606</v>
      </c>
      <c r="B1050" s="1" t="s">
        <v>1064</v>
      </c>
      <c r="D1050" s="2">
        <v>0</v>
      </c>
      <c r="E1050" s="2" t="s">
        <v>0</v>
      </c>
      <c r="G1050" s="1" t="s">
        <v>1969</v>
      </c>
      <c r="H1050" s="2">
        <v>1</v>
      </c>
      <c r="I1050" s="2">
        <v>14</v>
      </c>
      <c r="J1050" s="15">
        <v>5.18</v>
      </c>
      <c r="K1050" s="40">
        <v>0</v>
      </c>
    </row>
    <row r="1051" spans="1:11" x14ac:dyDescent="0.25">
      <c r="A1051" s="1">
        <v>1084922</v>
      </c>
      <c r="B1051" s="1" t="s">
        <v>1065</v>
      </c>
      <c r="D1051" s="2">
        <v>0</v>
      </c>
      <c r="E1051" s="2" t="s">
        <v>0</v>
      </c>
      <c r="G1051" s="1" t="s">
        <v>786</v>
      </c>
      <c r="H1051" s="2">
        <v>1</v>
      </c>
      <c r="I1051" s="2">
        <v>7</v>
      </c>
      <c r="K1051" s="40">
        <v>0</v>
      </c>
    </row>
    <row r="1052" spans="1:11" x14ac:dyDescent="0.25">
      <c r="A1052" s="1">
        <v>1086707</v>
      </c>
      <c r="B1052" s="1" t="s">
        <v>1066</v>
      </c>
      <c r="D1052" s="2">
        <v>0</v>
      </c>
      <c r="E1052" s="2" t="s">
        <v>0</v>
      </c>
      <c r="G1052" s="1" t="s">
        <v>1969</v>
      </c>
      <c r="H1052" s="2">
        <v>1</v>
      </c>
      <c r="I1052" s="2">
        <v>21</v>
      </c>
      <c r="J1052" s="15">
        <v>46.74</v>
      </c>
      <c r="K1052" s="40">
        <v>0</v>
      </c>
    </row>
    <row r="1053" spans="1:11" x14ac:dyDescent="0.25">
      <c r="A1053" s="1">
        <v>1086714</v>
      </c>
      <c r="B1053" s="1" t="s">
        <v>1067</v>
      </c>
      <c r="D1053" s="2">
        <v>0</v>
      </c>
      <c r="E1053" s="2" t="s">
        <v>0</v>
      </c>
      <c r="G1053" s="1" t="s">
        <v>1969</v>
      </c>
      <c r="H1053" s="2">
        <v>1</v>
      </c>
      <c r="I1053" s="2">
        <v>21</v>
      </c>
      <c r="J1053" s="15">
        <v>14.99</v>
      </c>
      <c r="K1053" s="40">
        <v>0</v>
      </c>
    </row>
    <row r="1054" spans="1:11" x14ac:dyDescent="0.25">
      <c r="A1054" s="1">
        <v>1087870</v>
      </c>
      <c r="B1054" s="1" t="s">
        <v>1068</v>
      </c>
      <c r="D1054" s="2">
        <v>0</v>
      </c>
      <c r="E1054" s="2" t="s">
        <v>1901</v>
      </c>
      <c r="G1054" s="1" t="s">
        <v>1968</v>
      </c>
      <c r="H1054" s="2">
        <v>1</v>
      </c>
      <c r="J1054" s="15">
        <v>1.94</v>
      </c>
      <c r="K1054" s="40">
        <v>0</v>
      </c>
    </row>
    <row r="1055" spans="1:11" x14ac:dyDescent="0.25">
      <c r="A1055" s="1">
        <v>1087936</v>
      </c>
      <c r="B1055" s="1" t="s">
        <v>1069</v>
      </c>
      <c r="D1055" s="2">
        <v>0</v>
      </c>
      <c r="E1055" s="2" t="s">
        <v>1901</v>
      </c>
      <c r="G1055" s="1" t="s">
        <v>1968</v>
      </c>
      <c r="H1055" s="2">
        <v>1</v>
      </c>
      <c r="J1055" s="15">
        <v>2.6</v>
      </c>
      <c r="K1055" s="40">
        <v>0</v>
      </c>
    </row>
    <row r="1056" spans="1:11" x14ac:dyDescent="0.25">
      <c r="A1056" s="1">
        <v>1087961</v>
      </c>
      <c r="B1056" s="1" t="s">
        <v>1070</v>
      </c>
      <c r="D1056" s="2">
        <v>0</v>
      </c>
      <c r="E1056" s="2" t="s">
        <v>0</v>
      </c>
      <c r="G1056" s="1" t="s">
        <v>1969</v>
      </c>
      <c r="H1056" s="2">
        <v>1</v>
      </c>
      <c r="I1056" s="2">
        <v>28</v>
      </c>
      <c r="K1056" s="40">
        <v>0</v>
      </c>
    </row>
    <row r="1057" spans="1:11" x14ac:dyDescent="0.25">
      <c r="A1057" s="1">
        <v>1087992</v>
      </c>
      <c r="B1057" s="1" t="s">
        <v>1071</v>
      </c>
      <c r="D1057" s="2">
        <v>0</v>
      </c>
      <c r="E1057" s="2" t="s">
        <v>0</v>
      </c>
      <c r="G1057" s="1" t="s">
        <v>1968</v>
      </c>
      <c r="H1057" s="2">
        <v>1</v>
      </c>
      <c r="K1057" s="40">
        <v>0</v>
      </c>
    </row>
    <row r="1058" spans="1:11" x14ac:dyDescent="0.25">
      <c r="A1058" s="1">
        <v>1088008</v>
      </c>
      <c r="B1058" s="1" t="s">
        <v>1072</v>
      </c>
      <c r="D1058" s="2">
        <v>0</v>
      </c>
      <c r="E1058" s="2" t="s">
        <v>1901</v>
      </c>
      <c r="G1058" s="1" t="s">
        <v>1968</v>
      </c>
      <c r="H1058" s="2">
        <v>1</v>
      </c>
      <c r="J1058" s="15">
        <v>1.97</v>
      </c>
      <c r="K1058" s="40">
        <v>0</v>
      </c>
    </row>
    <row r="1059" spans="1:11" x14ac:dyDescent="0.25">
      <c r="A1059" s="1">
        <v>1088010</v>
      </c>
      <c r="B1059" s="1" t="s">
        <v>1073</v>
      </c>
      <c r="D1059" s="2">
        <v>0</v>
      </c>
      <c r="E1059" s="2" t="s">
        <v>1901</v>
      </c>
      <c r="G1059" s="1" t="s">
        <v>1968</v>
      </c>
      <c r="H1059" s="2">
        <v>1</v>
      </c>
      <c r="J1059" s="15">
        <v>2.61</v>
      </c>
      <c r="K1059" s="40">
        <v>0</v>
      </c>
    </row>
    <row r="1060" spans="1:11" x14ac:dyDescent="0.25">
      <c r="A1060" s="1">
        <v>1088012</v>
      </c>
      <c r="B1060" s="1" t="s">
        <v>1074</v>
      </c>
      <c r="D1060" s="2">
        <v>0</v>
      </c>
      <c r="E1060" s="2" t="s">
        <v>1901</v>
      </c>
      <c r="G1060" s="1" t="s">
        <v>1968</v>
      </c>
      <c r="H1060" s="2">
        <v>1</v>
      </c>
      <c r="J1060" s="15">
        <v>4.34</v>
      </c>
      <c r="K1060" s="40">
        <v>0</v>
      </c>
    </row>
    <row r="1061" spans="1:11" x14ac:dyDescent="0.25">
      <c r="A1061" s="1">
        <v>1088061</v>
      </c>
      <c r="B1061" s="1" t="s">
        <v>1075</v>
      </c>
      <c r="D1061" s="2">
        <v>0</v>
      </c>
      <c r="E1061" s="2" t="s">
        <v>0</v>
      </c>
      <c r="G1061" s="1" t="s">
        <v>1968</v>
      </c>
      <c r="H1061" s="2">
        <v>1</v>
      </c>
      <c r="J1061" s="15">
        <v>140.11000000000001</v>
      </c>
      <c r="K1061" s="40">
        <v>0</v>
      </c>
    </row>
    <row r="1062" spans="1:11" x14ac:dyDescent="0.25">
      <c r="A1062" s="1">
        <v>1088062</v>
      </c>
      <c r="B1062" s="1" t="s">
        <v>1076</v>
      </c>
      <c r="D1062" s="2">
        <v>0</v>
      </c>
      <c r="E1062" s="2" t="s">
        <v>0</v>
      </c>
      <c r="G1062" s="1" t="s">
        <v>1969</v>
      </c>
      <c r="H1062" s="2">
        <v>1</v>
      </c>
      <c r="I1062" s="2">
        <v>21</v>
      </c>
      <c r="J1062" s="15">
        <v>18.32</v>
      </c>
      <c r="K1062" s="40">
        <v>0</v>
      </c>
    </row>
    <row r="1063" spans="1:11" x14ac:dyDescent="0.25">
      <c r="A1063" s="1">
        <v>1089113</v>
      </c>
      <c r="B1063" s="1" t="s">
        <v>1077</v>
      </c>
      <c r="D1063" s="2">
        <v>0</v>
      </c>
      <c r="E1063" s="2" t="s">
        <v>0</v>
      </c>
      <c r="G1063" s="1" t="s">
        <v>1969</v>
      </c>
      <c r="H1063" s="2">
        <v>1</v>
      </c>
      <c r="I1063" s="2">
        <v>7</v>
      </c>
      <c r="J1063" s="15">
        <v>35.47</v>
      </c>
      <c r="K1063" s="40">
        <v>0</v>
      </c>
    </row>
    <row r="1064" spans="1:11" x14ac:dyDescent="0.25">
      <c r="A1064" s="1">
        <v>1089136</v>
      </c>
      <c r="B1064" s="1" t="s">
        <v>1078</v>
      </c>
      <c r="D1064" s="2">
        <v>0</v>
      </c>
      <c r="E1064" s="2" t="s">
        <v>0</v>
      </c>
      <c r="G1064" s="1" t="s">
        <v>1969</v>
      </c>
      <c r="H1064" s="2">
        <v>1</v>
      </c>
      <c r="I1064" s="2">
        <v>14</v>
      </c>
      <c r="J1064" s="15">
        <v>35.56</v>
      </c>
      <c r="K1064" s="40">
        <v>0</v>
      </c>
    </row>
    <row r="1065" spans="1:11" x14ac:dyDescent="0.25">
      <c r="A1065" s="1">
        <v>1091949</v>
      </c>
      <c r="B1065" s="1" t="s">
        <v>1079</v>
      </c>
      <c r="D1065" s="2">
        <v>0</v>
      </c>
      <c r="E1065" s="2" t="s">
        <v>0</v>
      </c>
      <c r="G1065" s="1" t="s">
        <v>1969</v>
      </c>
      <c r="H1065" s="2">
        <v>1</v>
      </c>
      <c r="I1065" s="2">
        <v>14</v>
      </c>
      <c r="J1065" s="15">
        <v>68</v>
      </c>
      <c r="K1065" s="40">
        <v>0</v>
      </c>
    </row>
    <row r="1066" spans="1:11" x14ac:dyDescent="0.25">
      <c r="A1066" s="1">
        <v>1091950</v>
      </c>
      <c r="B1066" s="1" t="s">
        <v>1080</v>
      </c>
      <c r="D1066" s="2">
        <v>0</v>
      </c>
      <c r="E1066" s="2" t="s">
        <v>0</v>
      </c>
      <c r="G1066" s="1" t="s">
        <v>1969</v>
      </c>
      <c r="H1066" s="2">
        <v>1</v>
      </c>
      <c r="I1066" s="2">
        <v>14</v>
      </c>
      <c r="J1066" s="15">
        <v>51.8</v>
      </c>
      <c r="K1066" s="40">
        <v>0</v>
      </c>
    </row>
    <row r="1067" spans="1:11" x14ac:dyDescent="0.25">
      <c r="A1067" s="1">
        <v>1092214</v>
      </c>
      <c r="B1067" s="1" t="s">
        <v>1081</v>
      </c>
      <c r="D1067" s="2">
        <v>0</v>
      </c>
      <c r="E1067" s="2" t="s">
        <v>0</v>
      </c>
      <c r="G1067" s="1" t="s">
        <v>1969</v>
      </c>
      <c r="H1067" s="2">
        <v>1</v>
      </c>
      <c r="I1067" s="2">
        <v>7</v>
      </c>
      <c r="J1067" s="15">
        <v>29.38</v>
      </c>
      <c r="K1067" s="40">
        <v>0</v>
      </c>
    </row>
    <row r="1068" spans="1:11" x14ac:dyDescent="0.25">
      <c r="A1068" s="1">
        <v>1092431</v>
      </c>
      <c r="B1068" s="1" t="s">
        <v>1082</v>
      </c>
      <c r="D1068" s="2">
        <v>0</v>
      </c>
      <c r="E1068" s="2" t="s">
        <v>0</v>
      </c>
      <c r="G1068" s="1" t="s">
        <v>786</v>
      </c>
      <c r="H1068" s="2">
        <v>1</v>
      </c>
      <c r="I1068" s="2">
        <v>7</v>
      </c>
      <c r="J1068" s="15">
        <v>6.62</v>
      </c>
      <c r="K1068" s="40">
        <v>0</v>
      </c>
    </row>
    <row r="1069" spans="1:11" x14ac:dyDescent="0.25">
      <c r="A1069" s="1">
        <v>1092435</v>
      </c>
      <c r="B1069" s="1" t="s">
        <v>1083</v>
      </c>
      <c r="D1069" s="2">
        <v>0</v>
      </c>
      <c r="E1069" s="2" t="s">
        <v>0</v>
      </c>
      <c r="G1069" s="1" t="s">
        <v>1969</v>
      </c>
      <c r="H1069" s="2">
        <v>4</v>
      </c>
      <c r="I1069" s="2">
        <v>21</v>
      </c>
      <c r="J1069" s="15">
        <v>86.82</v>
      </c>
      <c r="K1069" s="40">
        <v>0</v>
      </c>
    </row>
    <row r="1070" spans="1:11" x14ac:dyDescent="0.25">
      <c r="A1070" s="1">
        <v>1092776</v>
      </c>
      <c r="B1070" s="1" t="s">
        <v>1084</v>
      </c>
      <c r="D1070" s="2">
        <v>0</v>
      </c>
      <c r="E1070" s="2" t="s">
        <v>0</v>
      </c>
      <c r="G1070" s="1" t="s">
        <v>1969</v>
      </c>
      <c r="H1070" s="2">
        <v>1</v>
      </c>
      <c r="I1070" s="2">
        <v>7</v>
      </c>
      <c r="J1070" s="15">
        <v>30.98</v>
      </c>
      <c r="K1070" s="40">
        <v>0</v>
      </c>
    </row>
    <row r="1071" spans="1:11" x14ac:dyDescent="0.25">
      <c r="A1071" s="1">
        <v>1092777</v>
      </c>
      <c r="B1071" s="1" t="s">
        <v>1085</v>
      </c>
      <c r="D1071" s="2">
        <v>0</v>
      </c>
      <c r="E1071" s="2" t="s">
        <v>0</v>
      </c>
      <c r="G1071" s="1" t="s">
        <v>1968</v>
      </c>
      <c r="H1071" s="2">
        <v>1</v>
      </c>
      <c r="J1071" s="15">
        <v>35.21</v>
      </c>
      <c r="K1071" s="40">
        <v>0</v>
      </c>
    </row>
    <row r="1072" spans="1:11" x14ac:dyDescent="0.25">
      <c r="A1072" s="1">
        <v>1092778</v>
      </c>
      <c r="B1072" s="1" t="s">
        <v>1086</v>
      </c>
      <c r="D1072" s="2">
        <v>0</v>
      </c>
      <c r="E1072" s="2" t="s">
        <v>0</v>
      </c>
      <c r="G1072" s="1" t="s">
        <v>786</v>
      </c>
      <c r="H1072" s="2">
        <v>1</v>
      </c>
      <c r="I1072" s="2">
        <v>7</v>
      </c>
      <c r="J1072" s="15">
        <v>21.13</v>
      </c>
      <c r="K1072" s="40">
        <v>0</v>
      </c>
    </row>
    <row r="1073" spans="1:11" x14ac:dyDescent="0.25">
      <c r="A1073" s="1">
        <v>1093038</v>
      </c>
      <c r="B1073" s="1" t="s">
        <v>1087</v>
      </c>
      <c r="D1073" s="2">
        <v>0</v>
      </c>
      <c r="E1073" s="2" t="s">
        <v>131</v>
      </c>
      <c r="G1073" s="1" t="s">
        <v>1969</v>
      </c>
      <c r="H1073" s="2">
        <v>1</v>
      </c>
      <c r="I1073" s="2">
        <v>3</v>
      </c>
      <c r="J1073" s="15">
        <v>25.78</v>
      </c>
      <c r="K1073" s="40">
        <v>0</v>
      </c>
    </row>
    <row r="1074" spans="1:11" x14ac:dyDescent="0.25">
      <c r="A1074" s="1">
        <v>1093186</v>
      </c>
      <c r="B1074" s="1" t="s">
        <v>1088</v>
      </c>
      <c r="D1074" s="2">
        <v>0</v>
      </c>
      <c r="E1074" s="2" t="s">
        <v>0</v>
      </c>
      <c r="G1074" s="1" t="s">
        <v>1968</v>
      </c>
      <c r="H1074" s="2">
        <v>1</v>
      </c>
      <c r="J1074" s="15">
        <v>9.7100000000000009</v>
      </c>
      <c r="K1074" s="40">
        <v>0</v>
      </c>
    </row>
    <row r="1075" spans="1:11" x14ac:dyDescent="0.25">
      <c r="A1075" s="1">
        <v>1093535</v>
      </c>
      <c r="B1075" s="1" t="s">
        <v>1089</v>
      </c>
      <c r="D1075" s="2">
        <v>0</v>
      </c>
      <c r="E1075" s="2" t="s">
        <v>0</v>
      </c>
      <c r="G1075" s="1" t="s">
        <v>1968</v>
      </c>
      <c r="H1075" s="2">
        <v>1</v>
      </c>
      <c r="J1075" s="15">
        <v>1.72</v>
      </c>
      <c r="K1075" s="40">
        <v>0</v>
      </c>
    </row>
    <row r="1076" spans="1:11" x14ac:dyDescent="0.25">
      <c r="A1076" s="1">
        <v>1094568</v>
      </c>
      <c r="B1076" s="1" t="s">
        <v>1090</v>
      </c>
      <c r="D1076" s="2">
        <v>0</v>
      </c>
      <c r="E1076" s="2" t="s">
        <v>0</v>
      </c>
      <c r="G1076" s="1" t="s">
        <v>786</v>
      </c>
      <c r="H1076" s="2">
        <v>1</v>
      </c>
      <c r="J1076" s="15">
        <v>21</v>
      </c>
      <c r="K1076" s="40">
        <v>0</v>
      </c>
    </row>
    <row r="1077" spans="1:11" x14ac:dyDescent="0.25">
      <c r="A1077" s="1">
        <v>1094844</v>
      </c>
      <c r="B1077" s="1" t="s">
        <v>1091</v>
      </c>
      <c r="D1077" s="2">
        <v>0</v>
      </c>
      <c r="E1077" s="2" t="s">
        <v>0</v>
      </c>
      <c r="G1077" s="1" t="s">
        <v>1968</v>
      </c>
      <c r="H1077" s="2">
        <v>1</v>
      </c>
      <c r="J1077" s="15">
        <v>97.66</v>
      </c>
      <c r="K1077" s="40">
        <v>0</v>
      </c>
    </row>
    <row r="1078" spans="1:11" x14ac:dyDescent="0.25">
      <c r="A1078" s="1">
        <v>1095496</v>
      </c>
      <c r="B1078" s="1" t="s">
        <v>1092</v>
      </c>
      <c r="D1078" s="2">
        <v>0</v>
      </c>
      <c r="E1078" s="2" t="s">
        <v>0</v>
      </c>
      <c r="G1078" s="1" t="s">
        <v>1969</v>
      </c>
      <c r="H1078" s="2">
        <v>1</v>
      </c>
      <c r="I1078" s="2">
        <v>42</v>
      </c>
      <c r="J1078" s="15">
        <v>20.18</v>
      </c>
      <c r="K1078" s="40">
        <v>0</v>
      </c>
    </row>
    <row r="1079" spans="1:11" x14ac:dyDescent="0.25">
      <c r="A1079" s="1">
        <v>1095497</v>
      </c>
      <c r="B1079" s="1" t="s">
        <v>1093</v>
      </c>
      <c r="D1079" s="2">
        <v>0</v>
      </c>
      <c r="E1079" s="2" t="s">
        <v>0</v>
      </c>
      <c r="G1079" s="1" t="s">
        <v>1969</v>
      </c>
      <c r="H1079" s="2">
        <v>1</v>
      </c>
      <c r="I1079" s="2">
        <v>56</v>
      </c>
      <c r="J1079" s="15">
        <v>32.28</v>
      </c>
      <c r="K1079" s="40">
        <v>0</v>
      </c>
    </row>
    <row r="1080" spans="1:11" x14ac:dyDescent="0.25">
      <c r="A1080" s="1">
        <v>1095649</v>
      </c>
      <c r="B1080" s="1" t="s">
        <v>1094</v>
      </c>
      <c r="D1080" s="2">
        <v>0</v>
      </c>
      <c r="E1080" s="2" t="s">
        <v>0</v>
      </c>
      <c r="G1080" s="1" t="s">
        <v>1968</v>
      </c>
      <c r="H1080" s="2">
        <v>1</v>
      </c>
      <c r="J1080" s="15">
        <v>61.25</v>
      </c>
      <c r="K1080" s="40">
        <v>0</v>
      </c>
    </row>
    <row r="1081" spans="1:11" x14ac:dyDescent="0.25">
      <c r="A1081" s="1">
        <v>1095654</v>
      </c>
      <c r="B1081" s="1" t="s">
        <v>1095</v>
      </c>
      <c r="D1081" s="2">
        <v>0</v>
      </c>
      <c r="E1081" s="2" t="s">
        <v>0</v>
      </c>
      <c r="G1081" s="1" t="s">
        <v>1968</v>
      </c>
      <c r="H1081" s="2">
        <v>1</v>
      </c>
      <c r="J1081" s="15">
        <v>63.23</v>
      </c>
      <c r="K1081" s="40">
        <v>0</v>
      </c>
    </row>
    <row r="1082" spans="1:11" x14ac:dyDescent="0.25">
      <c r="A1082" s="1">
        <v>1096033</v>
      </c>
      <c r="B1082" s="1" t="s">
        <v>1096</v>
      </c>
      <c r="D1082" s="2">
        <v>0</v>
      </c>
      <c r="E1082" s="2" t="s">
        <v>0</v>
      </c>
      <c r="G1082" s="1" t="s">
        <v>1969</v>
      </c>
      <c r="H1082" s="2">
        <v>1</v>
      </c>
      <c r="I1082" s="2">
        <v>42</v>
      </c>
      <c r="J1082" s="15">
        <v>1073.04</v>
      </c>
      <c r="K1082" s="40">
        <v>0</v>
      </c>
    </row>
    <row r="1083" spans="1:11" x14ac:dyDescent="0.25">
      <c r="A1083" s="1">
        <v>1096395</v>
      </c>
      <c r="B1083" s="1" t="s">
        <v>1097</v>
      </c>
      <c r="D1083" s="2">
        <v>0</v>
      </c>
      <c r="E1083" s="2" t="s">
        <v>0</v>
      </c>
      <c r="G1083" s="1" t="s">
        <v>1969</v>
      </c>
      <c r="H1083" s="2">
        <v>1</v>
      </c>
      <c r="I1083" s="2">
        <v>42</v>
      </c>
      <c r="J1083" s="15">
        <v>5.3</v>
      </c>
      <c r="K1083" s="40">
        <v>0</v>
      </c>
    </row>
    <row r="1084" spans="1:11" x14ac:dyDescent="0.25">
      <c r="A1084" s="1">
        <v>1096420</v>
      </c>
      <c r="B1084" s="1" t="s">
        <v>1098</v>
      </c>
      <c r="D1084" s="2">
        <v>0</v>
      </c>
      <c r="E1084" s="2" t="s">
        <v>0</v>
      </c>
      <c r="G1084" s="1" t="s">
        <v>1968</v>
      </c>
      <c r="H1084" s="2">
        <v>1</v>
      </c>
      <c r="K1084" s="40">
        <v>0</v>
      </c>
    </row>
    <row r="1085" spans="1:11" x14ac:dyDescent="0.25">
      <c r="A1085" s="1">
        <v>1096565</v>
      </c>
      <c r="B1085" s="1" t="s">
        <v>1099</v>
      </c>
      <c r="D1085" s="2">
        <v>0</v>
      </c>
      <c r="E1085" s="2" t="s">
        <v>0</v>
      </c>
      <c r="G1085" s="1" t="s">
        <v>1969</v>
      </c>
      <c r="H1085" s="2">
        <v>1</v>
      </c>
      <c r="I1085" s="2">
        <v>28</v>
      </c>
      <c r="K1085" s="40">
        <v>0</v>
      </c>
    </row>
    <row r="1086" spans="1:11" x14ac:dyDescent="0.25">
      <c r="A1086" s="1">
        <v>1096567</v>
      </c>
      <c r="B1086" s="1" t="s">
        <v>1100</v>
      </c>
      <c r="D1086" s="2">
        <v>0</v>
      </c>
      <c r="E1086" s="2" t="s">
        <v>0</v>
      </c>
      <c r="G1086" s="1" t="s">
        <v>1969</v>
      </c>
      <c r="H1086" s="2">
        <v>1</v>
      </c>
      <c r="I1086" s="2">
        <v>21</v>
      </c>
      <c r="J1086" s="15">
        <v>11.33</v>
      </c>
      <c r="K1086" s="40">
        <v>0</v>
      </c>
    </row>
    <row r="1087" spans="1:11" x14ac:dyDescent="0.25">
      <c r="A1087" s="1">
        <v>1096819</v>
      </c>
      <c r="B1087" s="1" t="s">
        <v>1101</v>
      </c>
      <c r="D1087" s="2">
        <v>0</v>
      </c>
      <c r="E1087" s="2" t="s">
        <v>0</v>
      </c>
      <c r="G1087" s="1" t="s">
        <v>786</v>
      </c>
      <c r="H1087" s="2">
        <v>1</v>
      </c>
      <c r="I1087" s="2">
        <v>14</v>
      </c>
      <c r="J1087" s="15">
        <v>8.2100000000000009</v>
      </c>
      <c r="K1087" s="40">
        <v>0</v>
      </c>
    </row>
    <row r="1088" spans="1:11" x14ac:dyDescent="0.25">
      <c r="A1088" s="1">
        <v>1096911</v>
      </c>
      <c r="B1088" s="1" t="s">
        <v>1102</v>
      </c>
      <c r="D1088" s="2">
        <v>0</v>
      </c>
      <c r="E1088" s="2" t="s">
        <v>0</v>
      </c>
      <c r="G1088" s="1" t="s">
        <v>1969</v>
      </c>
      <c r="H1088" s="2">
        <v>1</v>
      </c>
      <c r="I1088" s="2">
        <v>21</v>
      </c>
      <c r="J1088" s="15">
        <v>103.62</v>
      </c>
      <c r="K1088" s="40">
        <v>0</v>
      </c>
    </row>
    <row r="1089" spans="1:11" x14ac:dyDescent="0.25">
      <c r="A1089" s="1">
        <v>1096971</v>
      </c>
      <c r="B1089" s="1" t="s">
        <v>1103</v>
      </c>
      <c r="D1089" s="2">
        <v>0</v>
      </c>
      <c r="E1089" s="2" t="s">
        <v>0</v>
      </c>
      <c r="G1089" s="1" t="s">
        <v>1969</v>
      </c>
      <c r="H1089" s="2">
        <v>1</v>
      </c>
      <c r="I1089" s="2">
        <v>35</v>
      </c>
      <c r="J1089" s="15">
        <v>782.43</v>
      </c>
      <c r="K1089" s="40">
        <v>0</v>
      </c>
    </row>
    <row r="1090" spans="1:11" x14ac:dyDescent="0.25">
      <c r="A1090" s="1">
        <v>1097042</v>
      </c>
      <c r="B1090" s="1" t="s">
        <v>1104</v>
      </c>
      <c r="D1090" s="2">
        <v>0</v>
      </c>
      <c r="E1090" s="2" t="s">
        <v>0</v>
      </c>
      <c r="G1090" s="1" t="s">
        <v>786</v>
      </c>
      <c r="H1090" s="2">
        <v>1</v>
      </c>
      <c r="I1090" s="2">
        <v>7</v>
      </c>
      <c r="J1090" s="15">
        <v>17.16</v>
      </c>
      <c r="K1090" s="40">
        <v>0</v>
      </c>
    </row>
    <row r="1091" spans="1:11" x14ac:dyDescent="0.25">
      <c r="A1091" s="1">
        <v>1097073</v>
      </c>
      <c r="B1091" s="1" t="s">
        <v>1105</v>
      </c>
      <c r="D1091" s="2">
        <v>0</v>
      </c>
      <c r="E1091" s="2" t="s">
        <v>0</v>
      </c>
      <c r="G1091" s="1" t="s">
        <v>1969</v>
      </c>
      <c r="H1091" s="2">
        <v>12</v>
      </c>
      <c r="I1091" s="2">
        <v>28</v>
      </c>
      <c r="J1091" s="15">
        <v>826.62</v>
      </c>
      <c r="K1091" s="40">
        <v>0</v>
      </c>
    </row>
    <row r="1092" spans="1:11" x14ac:dyDescent="0.25">
      <c r="A1092" s="1">
        <v>1097163</v>
      </c>
      <c r="B1092" s="1" t="s">
        <v>1106</v>
      </c>
      <c r="D1092" s="2">
        <v>0</v>
      </c>
      <c r="E1092" s="2" t="s">
        <v>0</v>
      </c>
      <c r="G1092" s="1" t="s">
        <v>1969</v>
      </c>
      <c r="H1092" s="2">
        <v>1</v>
      </c>
      <c r="I1092" s="2">
        <v>21</v>
      </c>
      <c r="J1092" s="15">
        <v>5.68</v>
      </c>
      <c r="K1092" s="40">
        <v>0</v>
      </c>
    </row>
    <row r="1093" spans="1:11" x14ac:dyDescent="0.25">
      <c r="A1093" s="1">
        <v>1097481</v>
      </c>
      <c r="B1093" s="1" t="s">
        <v>1107</v>
      </c>
      <c r="D1093" s="2">
        <v>0</v>
      </c>
      <c r="E1093" s="2" t="s">
        <v>0</v>
      </c>
      <c r="G1093" s="1" t="s">
        <v>1968</v>
      </c>
      <c r="H1093" s="2">
        <v>1</v>
      </c>
      <c r="J1093" s="15">
        <v>96.04</v>
      </c>
      <c r="K1093" s="40">
        <v>0</v>
      </c>
    </row>
    <row r="1094" spans="1:11" x14ac:dyDescent="0.25">
      <c r="A1094" s="1">
        <v>1097512</v>
      </c>
      <c r="B1094" s="1" t="s">
        <v>1108</v>
      </c>
      <c r="D1094" s="2">
        <v>0</v>
      </c>
      <c r="E1094" s="2" t="s">
        <v>0</v>
      </c>
      <c r="G1094" s="1" t="s">
        <v>1969</v>
      </c>
      <c r="H1094" s="2">
        <v>1</v>
      </c>
      <c r="I1094" s="2">
        <v>21</v>
      </c>
      <c r="J1094" s="15">
        <v>132.61000000000001</v>
      </c>
      <c r="K1094" s="40">
        <v>0</v>
      </c>
    </row>
    <row r="1095" spans="1:11" x14ac:dyDescent="0.25">
      <c r="A1095" s="1">
        <v>1097649</v>
      </c>
      <c r="B1095" s="1" t="s">
        <v>1109</v>
      </c>
      <c r="D1095" s="2">
        <v>0</v>
      </c>
      <c r="E1095" s="2" t="s">
        <v>0</v>
      </c>
      <c r="G1095" s="1" t="s">
        <v>1969</v>
      </c>
      <c r="H1095" s="2">
        <v>1</v>
      </c>
      <c r="I1095" s="2">
        <v>56</v>
      </c>
      <c r="J1095" s="15">
        <v>718.78</v>
      </c>
      <c r="K1095" s="40">
        <v>0</v>
      </c>
    </row>
    <row r="1096" spans="1:11" x14ac:dyDescent="0.25">
      <c r="A1096" s="1">
        <v>1097702</v>
      </c>
      <c r="B1096" s="1" t="s">
        <v>1110</v>
      </c>
      <c r="D1096" s="2">
        <v>0</v>
      </c>
      <c r="E1096" s="2" t="s">
        <v>0</v>
      </c>
      <c r="G1096" s="1" t="s">
        <v>1969</v>
      </c>
      <c r="H1096" s="2">
        <v>1</v>
      </c>
      <c r="I1096" s="2">
        <v>21</v>
      </c>
      <c r="J1096" s="15">
        <v>6.5</v>
      </c>
      <c r="K1096" s="40">
        <v>0</v>
      </c>
    </row>
    <row r="1097" spans="1:11" x14ac:dyDescent="0.25">
      <c r="A1097" s="1">
        <v>1098468</v>
      </c>
      <c r="B1097" s="1" t="s">
        <v>1111</v>
      </c>
      <c r="D1097" s="2">
        <v>0</v>
      </c>
      <c r="E1097" s="2" t="s">
        <v>0</v>
      </c>
      <c r="G1097" s="1" t="s">
        <v>1969</v>
      </c>
      <c r="H1097" s="2">
        <v>1</v>
      </c>
      <c r="I1097" s="2">
        <v>42</v>
      </c>
      <c r="J1097" s="15">
        <v>33</v>
      </c>
      <c r="K1097" s="40">
        <v>0</v>
      </c>
    </row>
    <row r="1098" spans="1:11" x14ac:dyDescent="0.25">
      <c r="A1098" s="1">
        <v>1098898</v>
      </c>
      <c r="B1098" s="1" t="s">
        <v>1112</v>
      </c>
      <c r="D1098" s="2">
        <v>0</v>
      </c>
      <c r="E1098" s="2" t="s">
        <v>0</v>
      </c>
      <c r="G1098" s="1" t="s">
        <v>1968</v>
      </c>
      <c r="H1098" s="2">
        <v>1</v>
      </c>
      <c r="J1098" s="15">
        <v>192.55</v>
      </c>
      <c r="K1098" s="40">
        <v>0</v>
      </c>
    </row>
    <row r="1099" spans="1:11" x14ac:dyDescent="0.25">
      <c r="A1099" s="1">
        <v>1098957</v>
      </c>
      <c r="B1099" s="1" t="s">
        <v>1113</v>
      </c>
      <c r="D1099" s="2">
        <v>0</v>
      </c>
      <c r="E1099" s="2" t="s">
        <v>0</v>
      </c>
      <c r="G1099" s="1" t="s">
        <v>786</v>
      </c>
      <c r="H1099" s="2">
        <v>1</v>
      </c>
      <c r="J1099" s="15">
        <v>29.67</v>
      </c>
      <c r="K1099" s="40">
        <v>0</v>
      </c>
    </row>
    <row r="1100" spans="1:11" x14ac:dyDescent="0.25">
      <c r="A1100" s="1">
        <v>1099007</v>
      </c>
      <c r="B1100" s="1" t="s">
        <v>1114</v>
      </c>
      <c r="D1100" s="2">
        <v>0</v>
      </c>
      <c r="E1100" s="2" t="s">
        <v>0</v>
      </c>
      <c r="G1100" s="1" t="s">
        <v>1968</v>
      </c>
      <c r="H1100" s="2">
        <v>1</v>
      </c>
      <c r="J1100" s="15">
        <v>29.67</v>
      </c>
      <c r="K1100" s="40">
        <v>0</v>
      </c>
    </row>
    <row r="1101" spans="1:11" x14ac:dyDescent="0.25">
      <c r="A1101" s="1">
        <v>1099520</v>
      </c>
      <c r="B1101" s="1" t="s">
        <v>1115</v>
      </c>
      <c r="D1101" s="2">
        <v>0</v>
      </c>
      <c r="E1101" s="2" t="s">
        <v>0</v>
      </c>
      <c r="G1101" s="1" t="s">
        <v>1968</v>
      </c>
      <c r="H1101" s="2">
        <v>1</v>
      </c>
      <c r="J1101" s="15">
        <v>14.82</v>
      </c>
      <c r="K1101" s="40">
        <v>0</v>
      </c>
    </row>
    <row r="1102" spans="1:11" x14ac:dyDescent="0.25">
      <c r="A1102" s="1">
        <v>1099596</v>
      </c>
      <c r="B1102" s="1" t="s">
        <v>1116</v>
      </c>
      <c r="D1102" s="2">
        <v>0</v>
      </c>
      <c r="E1102" s="2" t="s">
        <v>0</v>
      </c>
      <c r="G1102" s="1" t="s">
        <v>1969</v>
      </c>
      <c r="H1102" s="2">
        <v>1</v>
      </c>
      <c r="I1102" s="2">
        <v>14</v>
      </c>
      <c r="J1102" s="15">
        <v>38.049999999999997</v>
      </c>
      <c r="K1102" s="40">
        <v>0</v>
      </c>
    </row>
    <row r="1103" spans="1:11" x14ac:dyDescent="0.25">
      <c r="A1103" s="1">
        <v>1105450</v>
      </c>
      <c r="B1103" s="1" t="s">
        <v>1117</v>
      </c>
      <c r="D1103" s="2">
        <v>0</v>
      </c>
      <c r="E1103" s="2" t="s">
        <v>0</v>
      </c>
      <c r="G1103" s="1" t="s">
        <v>1969</v>
      </c>
      <c r="H1103" s="2">
        <v>1</v>
      </c>
      <c r="I1103" s="2">
        <v>35</v>
      </c>
      <c r="J1103" s="15">
        <v>189.81</v>
      </c>
      <c r="K1103" s="40">
        <v>0</v>
      </c>
    </row>
    <row r="1104" spans="1:11" x14ac:dyDescent="0.25">
      <c r="A1104" s="1">
        <v>1119629</v>
      </c>
      <c r="B1104" s="1" t="s">
        <v>1118</v>
      </c>
      <c r="D1104" s="2">
        <v>0</v>
      </c>
      <c r="E1104" s="2" t="s">
        <v>0</v>
      </c>
      <c r="G1104" s="1" t="s">
        <v>1969</v>
      </c>
      <c r="H1104" s="2">
        <v>1</v>
      </c>
      <c r="I1104" s="2">
        <v>42</v>
      </c>
      <c r="J1104" s="15">
        <v>188.48</v>
      </c>
      <c r="K1104" s="40">
        <v>0</v>
      </c>
    </row>
    <row r="1105" spans="1:11" x14ac:dyDescent="0.25">
      <c r="A1105" s="1">
        <v>1120814</v>
      </c>
      <c r="B1105" s="1" t="s">
        <v>1119</v>
      </c>
      <c r="D1105" s="2">
        <v>0</v>
      </c>
      <c r="E1105" s="2" t="s">
        <v>0</v>
      </c>
      <c r="G1105" s="1" t="s">
        <v>1969</v>
      </c>
      <c r="H1105" s="2">
        <v>1</v>
      </c>
      <c r="I1105" s="2">
        <v>7</v>
      </c>
      <c r="J1105" s="15">
        <v>42.06</v>
      </c>
      <c r="K1105" s="40">
        <v>0</v>
      </c>
    </row>
    <row r="1106" spans="1:11" x14ac:dyDescent="0.25">
      <c r="A1106" s="1">
        <v>1120845</v>
      </c>
      <c r="B1106" s="1" t="s">
        <v>1120</v>
      </c>
      <c r="D1106" s="2">
        <v>0</v>
      </c>
      <c r="E1106" s="2" t="s">
        <v>0</v>
      </c>
      <c r="G1106" s="1" t="s">
        <v>1969</v>
      </c>
      <c r="H1106" s="2">
        <v>1</v>
      </c>
      <c r="I1106" s="2">
        <v>21</v>
      </c>
      <c r="J1106" s="15">
        <v>237.26</v>
      </c>
      <c r="K1106" s="40">
        <v>0</v>
      </c>
    </row>
    <row r="1107" spans="1:11" x14ac:dyDescent="0.25">
      <c r="A1107" s="1">
        <v>1121382</v>
      </c>
      <c r="B1107" s="1" t="s">
        <v>1121</v>
      </c>
      <c r="D1107" s="2">
        <v>0</v>
      </c>
      <c r="E1107" s="2" t="s">
        <v>0</v>
      </c>
      <c r="G1107" s="1" t="s">
        <v>1969</v>
      </c>
      <c r="H1107" s="2">
        <v>1</v>
      </c>
      <c r="I1107" s="2">
        <v>42</v>
      </c>
      <c r="J1107" s="15">
        <v>595.62</v>
      </c>
      <c r="K1107" s="40">
        <v>0</v>
      </c>
    </row>
    <row r="1108" spans="1:11" x14ac:dyDescent="0.25">
      <c r="A1108" s="1">
        <v>1121817</v>
      </c>
      <c r="B1108" s="1" t="s">
        <v>1122</v>
      </c>
      <c r="D1108" s="2">
        <v>0</v>
      </c>
      <c r="E1108" s="2" t="s">
        <v>0</v>
      </c>
      <c r="G1108" s="1" t="s">
        <v>1968</v>
      </c>
      <c r="H1108" s="2">
        <v>1</v>
      </c>
      <c r="J1108" s="15">
        <v>92.29</v>
      </c>
      <c r="K1108" s="40">
        <v>0</v>
      </c>
    </row>
    <row r="1109" spans="1:11" x14ac:dyDescent="0.25">
      <c r="A1109" s="1">
        <v>1122259</v>
      </c>
      <c r="B1109" s="1" t="s">
        <v>1123</v>
      </c>
      <c r="D1109" s="2">
        <v>0</v>
      </c>
      <c r="E1109" s="2" t="s">
        <v>0</v>
      </c>
      <c r="G1109" s="1" t="s">
        <v>1968</v>
      </c>
      <c r="H1109" s="2">
        <v>1</v>
      </c>
      <c r="J1109" s="15">
        <v>5.84</v>
      </c>
      <c r="K1109" s="40">
        <v>0</v>
      </c>
    </row>
    <row r="1110" spans="1:11" x14ac:dyDescent="0.25">
      <c r="A1110" s="1">
        <v>1122270</v>
      </c>
      <c r="B1110" s="1" t="s">
        <v>1124</v>
      </c>
      <c r="D1110" s="2">
        <v>0</v>
      </c>
      <c r="E1110" s="2" t="s">
        <v>0</v>
      </c>
      <c r="G1110" s="1" t="s">
        <v>1968</v>
      </c>
      <c r="H1110" s="2">
        <v>1</v>
      </c>
      <c r="J1110" s="15">
        <v>581.64</v>
      </c>
      <c r="K1110" s="40">
        <v>0</v>
      </c>
    </row>
    <row r="1111" spans="1:11" x14ac:dyDescent="0.25">
      <c r="A1111" s="1">
        <v>1123006</v>
      </c>
      <c r="B1111" s="1" t="s">
        <v>1125</v>
      </c>
      <c r="D1111" s="2">
        <v>0</v>
      </c>
      <c r="E1111" s="2" t="s">
        <v>0</v>
      </c>
      <c r="G1111" s="1" t="s">
        <v>786</v>
      </c>
      <c r="H1111" s="2">
        <v>1</v>
      </c>
      <c r="K1111" s="40">
        <v>0</v>
      </c>
    </row>
    <row r="1112" spans="1:11" x14ac:dyDescent="0.25">
      <c r="A1112" s="1">
        <v>1123576</v>
      </c>
      <c r="B1112" s="1" t="s">
        <v>1126</v>
      </c>
      <c r="D1112" s="2">
        <v>0</v>
      </c>
      <c r="E1112" s="2" t="s">
        <v>0</v>
      </c>
      <c r="G1112" s="1" t="s">
        <v>1969</v>
      </c>
      <c r="H1112" s="2">
        <v>1</v>
      </c>
      <c r="I1112" s="2">
        <v>14</v>
      </c>
      <c r="J1112" s="15">
        <v>13.03</v>
      </c>
      <c r="K1112" s="40">
        <v>0</v>
      </c>
    </row>
    <row r="1113" spans="1:11" x14ac:dyDescent="0.25">
      <c r="A1113" s="1">
        <v>1124015</v>
      </c>
      <c r="B1113" s="1" t="s">
        <v>1127</v>
      </c>
      <c r="D1113" s="2">
        <v>0</v>
      </c>
      <c r="E1113" s="2" t="s">
        <v>0</v>
      </c>
      <c r="G1113" s="1" t="s">
        <v>1969</v>
      </c>
      <c r="H1113" s="2">
        <v>1</v>
      </c>
      <c r="I1113" s="2">
        <v>49</v>
      </c>
      <c r="J1113" s="15">
        <v>116.42</v>
      </c>
      <c r="K1113" s="40">
        <v>0</v>
      </c>
    </row>
    <row r="1114" spans="1:11" x14ac:dyDescent="0.25">
      <c r="A1114" s="1">
        <v>1124110</v>
      </c>
      <c r="B1114" s="1" t="s">
        <v>1128</v>
      </c>
      <c r="D1114" s="2">
        <v>0</v>
      </c>
      <c r="E1114" s="2" t="s">
        <v>0</v>
      </c>
      <c r="G1114" s="1" t="s">
        <v>1968</v>
      </c>
      <c r="H1114" s="2">
        <v>1</v>
      </c>
      <c r="J1114" s="15">
        <v>261.58999999999997</v>
      </c>
      <c r="K1114" s="40">
        <v>0</v>
      </c>
    </row>
    <row r="1115" spans="1:11" x14ac:dyDescent="0.25">
      <c r="A1115" s="1">
        <v>1124569</v>
      </c>
      <c r="B1115" s="1" t="s">
        <v>1129</v>
      </c>
      <c r="D1115" s="2">
        <v>0</v>
      </c>
      <c r="E1115" s="2" t="s">
        <v>0</v>
      </c>
      <c r="G1115" s="1" t="s">
        <v>786</v>
      </c>
      <c r="H1115" s="2">
        <v>1</v>
      </c>
      <c r="I1115" s="2">
        <v>7</v>
      </c>
      <c r="J1115" s="15">
        <v>560.9</v>
      </c>
      <c r="K1115" s="40">
        <v>0</v>
      </c>
    </row>
    <row r="1116" spans="1:11" x14ac:dyDescent="0.25">
      <c r="A1116" s="1">
        <v>1124628</v>
      </c>
      <c r="B1116" s="1" t="s">
        <v>1130</v>
      </c>
      <c r="D1116" s="2">
        <v>0</v>
      </c>
      <c r="E1116" s="2" t="s">
        <v>0</v>
      </c>
      <c r="G1116" s="1" t="s">
        <v>1969</v>
      </c>
      <c r="H1116" s="2">
        <v>1</v>
      </c>
      <c r="I1116" s="2">
        <v>21</v>
      </c>
      <c r="J1116" s="15">
        <v>0.89</v>
      </c>
      <c r="K1116" s="40">
        <v>0</v>
      </c>
    </row>
    <row r="1117" spans="1:11" x14ac:dyDescent="0.25">
      <c r="A1117" s="1">
        <v>1124629</v>
      </c>
      <c r="B1117" s="1" t="s">
        <v>1131</v>
      </c>
      <c r="D1117" s="2">
        <v>0</v>
      </c>
      <c r="E1117" s="2" t="s">
        <v>0</v>
      </c>
      <c r="G1117" s="1" t="s">
        <v>1969</v>
      </c>
      <c r="H1117" s="2">
        <v>1</v>
      </c>
      <c r="I1117" s="2">
        <v>21</v>
      </c>
      <c r="J1117" s="15">
        <v>1.19</v>
      </c>
      <c r="K1117" s="40">
        <v>0</v>
      </c>
    </row>
    <row r="1118" spans="1:11" x14ac:dyDescent="0.25">
      <c r="A1118" s="1">
        <v>1124665</v>
      </c>
      <c r="B1118" s="1" t="s">
        <v>1132</v>
      </c>
      <c r="D1118" s="2">
        <v>0</v>
      </c>
      <c r="E1118" s="2" t="s">
        <v>131</v>
      </c>
      <c r="G1118" s="1" t="s">
        <v>786</v>
      </c>
      <c r="H1118" s="2">
        <v>1</v>
      </c>
      <c r="I1118" s="2">
        <v>21</v>
      </c>
      <c r="J1118" s="15">
        <v>1.97</v>
      </c>
      <c r="K1118" s="40">
        <v>0</v>
      </c>
    </row>
    <row r="1119" spans="1:11" x14ac:dyDescent="0.25">
      <c r="A1119" s="1">
        <v>1124866</v>
      </c>
      <c r="B1119" s="1" t="s">
        <v>1133</v>
      </c>
      <c r="D1119" s="2">
        <v>0</v>
      </c>
      <c r="E1119" s="2" t="s">
        <v>0</v>
      </c>
      <c r="G1119" s="1" t="s">
        <v>1968</v>
      </c>
      <c r="H1119" s="2">
        <v>1</v>
      </c>
      <c r="J1119" s="15">
        <v>41.64</v>
      </c>
      <c r="K1119" s="40">
        <v>0</v>
      </c>
    </row>
    <row r="1120" spans="1:11" x14ac:dyDescent="0.25">
      <c r="A1120" s="1">
        <v>1124867</v>
      </c>
      <c r="B1120" s="1" t="s">
        <v>1134</v>
      </c>
      <c r="D1120" s="2">
        <v>0</v>
      </c>
      <c r="E1120" s="2" t="s">
        <v>0</v>
      </c>
      <c r="G1120" s="1" t="s">
        <v>1968</v>
      </c>
      <c r="H1120" s="2">
        <v>1</v>
      </c>
      <c r="J1120" s="15">
        <v>47.15</v>
      </c>
      <c r="K1120" s="40">
        <v>0</v>
      </c>
    </row>
    <row r="1121" spans="1:11" x14ac:dyDescent="0.25">
      <c r="A1121" s="1">
        <v>1124996</v>
      </c>
      <c r="B1121" s="1" t="s">
        <v>1135</v>
      </c>
      <c r="D1121" s="2">
        <v>0</v>
      </c>
      <c r="E1121" s="2" t="s">
        <v>0</v>
      </c>
      <c r="G1121" s="1" t="s">
        <v>786</v>
      </c>
      <c r="H1121" s="2">
        <v>1</v>
      </c>
      <c r="I1121" s="2">
        <v>14</v>
      </c>
      <c r="K1121" s="40">
        <v>0</v>
      </c>
    </row>
    <row r="1122" spans="1:11" x14ac:dyDescent="0.25">
      <c r="A1122" s="1">
        <v>1125055</v>
      </c>
      <c r="B1122" s="1" t="s">
        <v>1136</v>
      </c>
      <c r="D1122" s="2">
        <v>0</v>
      </c>
      <c r="E1122" s="2" t="s">
        <v>1901</v>
      </c>
      <c r="G1122" s="1" t="s">
        <v>1968</v>
      </c>
      <c r="H1122" s="2">
        <v>1</v>
      </c>
      <c r="J1122" s="15">
        <v>0.61</v>
      </c>
      <c r="K1122" s="40">
        <v>0</v>
      </c>
    </row>
    <row r="1123" spans="1:11" x14ac:dyDescent="0.25">
      <c r="A1123" s="1">
        <v>1125371</v>
      </c>
      <c r="B1123" s="1" t="s">
        <v>1137</v>
      </c>
      <c r="D1123" s="2">
        <v>0</v>
      </c>
      <c r="E1123" s="2" t="s">
        <v>0</v>
      </c>
      <c r="G1123" s="1" t="s">
        <v>786</v>
      </c>
      <c r="H1123" s="2">
        <v>1</v>
      </c>
      <c r="I1123" s="2">
        <v>42</v>
      </c>
      <c r="K1123" s="40">
        <v>0</v>
      </c>
    </row>
    <row r="1124" spans="1:11" x14ac:dyDescent="0.25">
      <c r="A1124" s="1">
        <v>1125707</v>
      </c>
      <c r="B1124" s="1" t="s">
        <v>1138</v>
      </c>
      <c r="D1124" s="2">
        <v>0</v>
      </c>
      <c r="E1124" s="2" t="s">
        <v>0</v>
      </c>
      <c r="G1124" s="1" t="s">
        <v>1968</v>
      </c>
      <c r="H1124" s="2">
        <v>1</v>
      </c>
      <c r="J1124" s="15">
        <v>1.05</v>
      </c>
      <c r="K1124" s="40">
        <v>0</v>
      </c>
    </row>
    <row r="1125" spans="1:11" x14ac:dyDescent="0.25">
      <c r="A1125" s="1">
        <v>1125745</v>
      </c>
      <c r="B1125" s="1" t="s">
        <v>1139</v>
      </c>
      <c r="D1125" s="2">
        <v>0</v>
      </c>
      <c r="E1125" s="2" t="s">
        <v>0</v>
      </c>
      <c r="G1125" s="1" t="s">
        <v>1968</v>
      </c>
      <c r="H1125" s="2">
        <v>1</v>
      </c>
      <c r="J1125" s="15">
        <v>105.61</v>
      </c>
      <c r="K1125" s="40">
        <v>0</v>
      </c>
    </row>
    <row r="1126" spans="1:11" x14ac:dyDescent="0.25">
      <c r="A1126" s="1">
        <v>1125814</v>
      </c>
      <c r="B1126" s="1" t="s">
        <v>1140</v>
      </c>
      <c r="D1126" s="2">
        <v>0</v>
      </c>
      <c r="E1126" s="2" t="s">
        <v>0</v>
      </c>
      <c r="G1126" s="1" t="s">
        <v>1969</v>
      </c>
      <c r="H1126" s="2">
        <v>1</v>
      </c>
      <c r="I1126" s="2">
        <v>35</v>
      </c>
      <c r="J1126" s="15">
        <v>55.63</v>
      </c>
      <c r="K1126" s="40">
        <v>0</v>
      </c>
    </row>
    <row r="1127" spans="1:11" x14ac:dyDescent="0.25">
      <c r="A1127" s="1">
        <v>1126151</v>
      </c>
      <c r="B1127" s="1" t="s">
        <v>1141</v>
      </c>
      <c r="D1127" s="2">
        <v>0</v>
      </c>
      <c r="E1127" s="2" t="s">
        <v>0</v>
      </c>
      <c r="G1127" s="1" t="s">
        <v>786</v>
      </c>
      <c r="H1127" s="2">
        <v>1</v>
      </c>
      <c r="I1127" s="2">
        <v>7</v>
      </c>
      <c r="J1127" s="15">
        <v>32.14</v>
      </c>
      <c r="K1127" s="40">
        <v>0</v>
      </c>
    </row>
    <row r="1128" spans="1:11" x14ac:dyDescent="0.25">
      <c r="A1128" s="1">
        <v>1126152</v>
      </c>
      <c r="B1128" s="1" t="s">
        <v>1142</v>
      </c>
      <c r="D1128" s="2">
        <v>0</v>
      </c>
      <c r="E1128" s="2" t="s">
        <v>0</v>
      </c>
      <c r="G1128" s="1" t="s">
        <v>786</v>
      </c>
      <c r="H1128" s="2">
        <v>1</v>
      </c>
      <c r="I1128" s="2">
        <v>7</v>
      </c>
      <c r="J1128" s="15">
        <v>6.81</v>
      </c>
      <c r="K1128" s="40">
        <v>0</v>
      </c>
    </row>
    <row r="1129" spans="1:11" x14ac:dyDescent="0.25">
      <c r="A1129" s="1">
        <v>1126232</v>
      </c>
      <c r="B1129" s="1" t="s">
        <v>1143</v>
      </c>
      <c r="D1129" s="2">
        <v>0</v>
      </c>
      <c r="E1129" s="2" t="s">
        <v>54</v>
      </c>
      <c r="G1129" s="1" t="s">
        <v>1969</v>
      </c>
      <c r="H1129" s="2">
        <v>1</v>
      </c>
      <c r="I1129" s="2">
        <v>14</v>
      </c>
      <c r="J1129" s="15">
        <v>73.66</v>
      </c>
      <c r="K1129" s="40">
        <v>0</v>
      </c>
    </row>
    <row r="1130" spans="1:11" x14ac:dyDescent="0.25">
      <c r="A1130" s="1">
        <v>1126712</v>
      </c>
      <c r="B1130" s="1" t="s">
        <v>1144</v>
      </c>
      <c r="D1130" s="2">
        <v>0</v>
      </c>
      <c r="E1130" s="2" t="s">
        <v>0</v>
      </c>
      <c r="G1130" s="1" t="s">
        <v>1969</v>
      </c>
      <c r="H1130" s="2">
        <v>1</v>
      </c>
      <c r="I1130" s="2">
        <v>7</v>
      </c>
      <c r="J1130" s="15">
        <v>4.3899999999999997</v>
      </c>
      <c r="K1130" s="40">
        <v>0</v>
      </c>
    </row>
    <row r="1131" spans="1:11" x14ac:dyDescent="0.25">
      <c r="A1131" s="1">
        <v>1127049</v>
      </c>
      <c r="B1131" s="1" t="s">
        <v>1145</v>
      </c>
      <c r="D1131" s="2">
        <v>0</v>
      </c>
      <c r="E1131" s="2" t="s">
        <v>131</v>
      </c>
      <c r="G1131" s="1" t="s">
        <v>786</v>
      </c>
      <c r="H1131" s="2">
        <v>1</v>
      </c>
      <c r="J1131" s="15">
        <v>1.56</v>
      </c>
      <c r="K1131" s="40">
        <v>0</v>
      </c>
    </row>
    <row r="1132" spans="1:11" x14ac:dyDescent="0.25">
      <c r="A1132" s="1">
        <v>1127050</v>
      </c>
      <c r="B1132" s="1" t="s">
        <v>1146</v>
      </c>
      <c r="D1132" s="2">
        <v>0</v>
      </c>
      <c r="E1132" s="2" t="s">
        <v>131</v>
      </c>
      <c r="G1132" s="1" t="s">
        <v>786</v>
      </c>
      <c r="H1132" s="2">
        <v>1</v>
      </c>
      <c r="J1132" s="15">
        <v>1.56</v>
      </c>
      <c r="K1132" s="40">
        <v>0</v>
      </c>
    </row>
    <row r="1133" spans="1:11" x14ac:dyDescent="0.25">
      <c r="A1133" s="1">
        <v>1127051</v>
      </c>
      <c r="B1133" s="1" t="s">
        <v>1147</v>
      </c>
      <c r="D1133" s="2">
        <v>0</v>
      </c>
      <c r="E1133" s="2" t="s">
        <v>131</v>
      </c>
      <c r="G1133" s="1" t="s">
        <v>786</v>
      </c>
      <c r="H1133" s="2">
        <v>1</v>
      </c>
      <c r="J1133" s="15">
        <v>1.56</v>
      </c>
      <c r="K1133" s="40">
        <v>0</v>
      </c>
    </row>
    <row r="1134" spans="1:11" x14ac:dyDescent="0.25">
      <c r="A1134" s="1">
        <v>1127052</v>
      </c>
      <c r="B1134" s="1" t="s">
        <v>1148</v>
      </c>
      <c r="D1134" s="2">
        <v>0</v>
      </c>
      <c r="E1134" s="2" t="s">
        <v>131</v>
      </c>
      <c r="G1134" s="1" t="s">
        <v>786</v>
      </c>
      <c r="H1134" s="2">
        <v>1</v>
      </c>
      <c r="J1134" s="15">
        <v>1.56</v>
      </c>
      <c r="K1134" s="40">
        <v>0</v>
      </c>
    </row>
    <row r="1135" spans="1:11" x14ac:dyDescent="0.25">
      <c r="A1135" s="1">
        <v>1127053</v>
      </c>
      <c r="B1135" s="1" t="s">
        <v>1148</v>
      </c>
      <c r="D1135" s="2">
        <v>0</v>
      </c>
      <c r="E1135" s="2" t="s">
        <v>131</v>
      </c>
      <c r="G1135" s="1" t="s">
        <v>786</v>
      </c>
      <c r="H1135" s="2">
        <v>1</v>
      </c>
      <c r="J1135" s="15">
        <v>1.56</v>
      </c>
      <c r="K1135" s="40">
        <v>0</v>
      </c>
    </row>
    <row r="1136" spans="1:11" x14ac:dyDescent="0.25">
      <c r="A1136" s="1">
        <v>1127054</v>
      </c>
      <c r="B1136" s="1" t="s">
        <v>1149</v>
      </c>
      <c r="D1136" s="2">
        <v>0</v>
      </c>
      <c r="E1136" s="2" t="s">
        <v>131</v>
      </c>
      <c r="G1136" s="1" t="s">
        <v>786</v>
      </c>
      <c r="H1136" s="2">
        <v>1</v>
      </c>
      <c r="J1136" s="15">
        <v>1.56</v>
      </c>
      <c r="K1136" s="40">
        <v>0</v>
      </c>
    </row>
    <row r="1137" spans="1:11" x14ac:dyDescent="0.25">
      <c r="A1137" s="1">
        <v>1127056</v>
      </c>
      <c r="B1137" s="1" t="s">
        <v>1150</v>
      </c>
      <c r="D1137" s="2">
        <v>0</v>
      </c>
      <c r="E1137" s="2" t="s">
        <v>131</v>
      </c>
      <c r="G1137" s="1" t="s">
        <v>786</v>
      </c>
      <c r="H1137" s="2">
        <v>1</v>
      </c>
      <c r="J1137" s="15">
        <v>1.56</v>
      </c>
      <c r="K1137" s="40">
        <v>0</v>
      </c>
    </row>
    <row r="1138" spans="1:11" x14ac:dyDescent="0.25">
      <c r="A1138" s="1">
        <v>1127057</v>
      </c>
      <c r="B1138" s="1" t="s">
        <v>1151</v>
      </c>
      <c r="D1138" s="2">
        <v>0</v>
      </c>
      <c r="E1138" s="2" t="s">
        <v>131</v>
      </c>
      <c r="G1138" s="1" t="s">
        <v>786</v>
      </c>
      <c r="H1138" s="2">
        <v>1</v>
      </c>
      <c r="J1138" s="15">
        <v>1.56</v>
      </c>
      <c r="K1138" s="40">
        <v>0</v>
      </c>
    </row>
    <row r="1139" spans="1:11" x14ac:dyDescent="0.25">
      <c r="A1139" s="1">
        <v>1127058</v>
      </c>
      <c r="B1139" s="1" t="s">
        <v>1152</v>
      </c>
      <c r="D1139" s="2">
        <v>0</v>
      </c>
      <c r="E1139" s="2" t="s">
        <v>131</v>
      </c>
      <c r="G1139" s="1" t="s">
        <v>786</v>
      </c>
      <c r="H1139" s="2">
        <v>1</v>
      </c>
      <c r="J1139" s="15">
        <v>1.56</v>
      </c>
      <c r="K1139" s="40">
        <v>0</v>
      </c>
    </row>
    <row r="1140" spans="1:11" x14ac:dyDescent="0.25">
      <c r="A1140" s="1">
        <v>1127059</v>
      </c>
      <c r="B1140" s="1" t="s">
        <v>1153</v>
      </c>
      <c r="D1140" s="2">
        <v>0</v>
      </c>
      <c r="E1140" s="2" t="s">
        <v>131</v>
      </c>
      <c r="G1140" s="1" t="s">
        <v>786</v>
      </c>
      <c r="H1140" s="2">
        <v>1</v>
      </c>
      <c r="J1140" s="15">
        <v>1.56</v>
      </c>
      <c r="K1140" s="40">
        <v>0</v>
      </c>
    </row>
    <row r="1141" spans="1:11" x14ac:dyDescent="0.25">
      <c r="A1141" s="1">
        <v>1127060</v>
      </c>
      <c r="B1141" s="1" t="s">
        <v>1154</v>
      </c>
      <c r="D1141" s="2">
        <v>0</v>
      </c>
      <c r="E1141" s="2" t="s">
        <v>131</v>
      </c>
      <c r="G1141" s="1" t="s">
        <v>786</v>
      </c>
      <c r="H1141" s="2">
        <v>1</v>
      </c>
      <c r="J1141" s="15">
        <v>1.56</v>
      </c>
      <c r="K1141" s="40">
        <v>0</v>
      </c>
    </row>
    <row r="1142" spans="1:11" x14ac:dyDescent="0.25">
      <c r="A1142" s="1">
        <v>1127061</v>
      </c>
      <c r="B1142" s="1" t="s">
        <v>1155</v>
      </c>
      <c r="D1142" s="2">
        <v>0</v>
      </c>
      <c r="E1142" s="2" t="s">
        <v>131</v>
      </c>
      <c r="G1142" s="1" t="s">
        <v>786</v>
      </c>
      <c r="H1142" s="2">
        <v>1</v>
      </c>
      <c r="J1142" s="15">
        <v>1.56</v>
      </c>
      <c r="K1142" s="40">
        <v>0</v>
      </c>
    </row>
    <row r="1143" spans="1:11" x14ac:dyDescent="0.25">
      <c r="A1143" s="1">
        <v>1127062</v>
      </c>
      <c r="B1143" s="1" t="s">
        <v>1156</v>
      </c>
      <c r="D1143" s="2">
        <v>0</v>
      </c>
      <c r="E1143" s="2" t="s">
        <v>131</v>
      </c>
      <c r="G1143" s="1" t="s">
        <v>786</v>
      </c>
      <c r="H1143" s="2">
        <v>1</v>
      </c>
      <c r="J1143" s="15">
        <v>1.56</v>
      </c>
      <c r="K1143" s="40">
        <v>0</v>
      </c>
    </row>
    <row r="1144" spans="1:11" x14ac:dyDescent="0.25">
      <c r="A1144" s="1">
        <v>1127063</v>
      </c>
      <c r="B1144" s="1" t="s">
        <v>1157</v>
      </c>
      <c r="D1144" s="2">
        <v>0</v>
      </c>
      <c r="E1144" s="2" t="s">
        <v>131</v>
      </c>
      <c r="G1144" s="1" t="s">
        <v>786</v>
      </c>
      <c r="H1144" s="2">
        <v>1</v>
      </c>
      <c r="J1144" s="15">
        <v>1.56</v>
      </c>
      <c r="K1144" s="40">
        <v>0</v>
      </c>
    </row>
    <row r="1145" spans="1:11" x14ac:dyDescent="0.25">
      <c r="A1145" s="1">
        <v>1127064</v>
      </c>
      <c r="B1145" s="1" t="s">
        <v>1158</v>
      </c>
      <c r="D1145" s="2">
        <v>0</v>
      </c>
      <c r="E1145" s="2" t="s">
        <v>131</v>
      </c>
      <c r="G1145" s="1" t="s">
        <v>786</v>
      </c>
      <c r="H1145" s="2">
        <v>1</v>
      </c>
      <c r="J1145" s="15">
        <v>1.56</v>
      </c>
      <c r="K1145" s="40">
        <v>0</v>
      </c>
    </row>
    <row r="1146" spans="1:11" x14ac:dyDescent="0.25">
      <c r="A1146" s="1">
        <v>1127065</v>
      </c>
      <c r="B1146" s="1" t="s">
        <v>1159</v>
      </c>
      <c r="D1146" s="2">
        <v>0</v>
      </c>
      <c r="E1146" s="2" t="s">
        <v>131</v>
      </c>
      <c r="G1146" s="1" t="s">
        <v>786</v>
      </c>
      <c r="H1146" s="2">
        <v>1</v>
      </c>
      <c r="J1146" s="15">
        <v>1.56</v>
      </c>
      <c r="K1146" s="40">
        <v>0</v>
      </c>
    </row>
    <row r="1147" spans="1:11" x14ac:dyDescent="0.25">
      <c r="A1147" s="1">
        <v>1127066</v>
      </c>
      <c r="B1147" s="1" t="s">
        <v>1160</v>
      </c>
      <c r="D1147" s="2">
        <v>0</v>
      </c>
      <c r="E1147" s="2" t="s">
        <v>131</v>
      </c>
      <c r="G1147" s="1" t="s">
        <v>786</v>
      </c>
      <c r="H1147" s="2">
        <v>1</v>
      </c>
      <c r="J1147" s="15">
        <v>1.56</v>
      </c>
      <c r="K1147" s="40">
        <v>0</v>
      </c>
    </row>
    <row r="1148" spans="1:11" x14ac:dyDescent="0.25">
      <c r="A1148" s="1">
        <v>1127067</v>
      </c>
      <c r="B1148" s="1" t="s">
        <v>1161</v>
      </c>
      <c r="D1148" s="2">
        <v>0</v>
      </c>
      <c r="E1148" s="2" t="s">
        <v>131</v>
      </c>
      <c r="G1148" s="1" t="s">
        <v>786</v>
      </c>
      <c r="H1148" s="2">
        <v>1</v>
      </c>
      <c r="J1148" s="15">
        <v>1.56</v>
      </c>
      <c r="K1148" s="40">
        <v>0</v>
      </c>
    </row>
    <row r="1149" spans="1:11" x14ac:dyDescent="0.25">
      <c r="A1149" s="1">
        <v>1127068</v>
      </c>
      <c r="B1149" s="1" t="s">
        <v>1162</v>
      </c>
      <c r="D1149" s="2">
        <v>0</v>
      </c>
      <c r="E1149" s="2" t="s">
        <v>131</v>
      </c>
      <c r="G1149" s="1" t="s">
        <v>786</v>
      </c>
      <c r="H1149" s="2">
        <v>1</v>
      </c>
      <c r="J1149" s="15">
        <v>1.56</v>
      </c>
      <c r="K1149" s="40">
        <v>0</v>
      </c>
    </row>
    <row r="1150" spans="1:11" x14ac:dyDescent="0.25">
      <c r="A1150" s="1">
        <v>1127509</v>
      </c>
      <c r="B1150" s="1" t="s">
        <v>1163</v>
      </c>
      <c r="D1150" s="2">
        <v>0</v>
      </c>
      <c r="E1150" s="2" t="s">
        <v>0</v>
      </c>
      <c r="G1150" s="1" t="s">
        <v>1969</v>
      </c>
      <c r="H1150" s="2">
        <v>1</v>
      </c>
      <c r="I1150" s="2">
        <v>42</v>
      </c>
      <c r="J1150" s="15">
        <v>147.74</v>
      </c>
      <c r="K1150" s="40">
        <v>0</v>
      </c>
    </row>
    <row r="1151" spans="1:11" x14ac:dyDescent="0.25">
      <c r="A1151" s="1">
        <v>1127526</v>
      </c>
      <c r="B1151" s="1" t="s">
        <v>1164</v>
      </c>
      <c r="D1151" s="2">
        <v>0</v>
      </c>
      <c r="E1151" s="2" t="s">
        <v>0</v>
      </c>
      <c r="G1151" s="1" t="s">
        <v>1968</v>
      </c>
      <c r="H1151" s="2">
        <v>1</v>
      </c>
      <c r="J1151" s="15">
        <v>293.45</v>
      </c>
      <c r="K1151" s="40">
        <v>0</v>
      </c>
    </row>
    <row r="1152" spans="1:11" x14ac:dyDescent="0.25">
      <c r="A1152" s="1">
        <v>1127546</v>
      </c>
      <c r="B1152" s="1" t="s">
        <v>1165</v>
      </c>
      <c r="D1152" s="2">
        <v>0</v>
      </c>
      <c r="E1152" s="2" t="s">
        <v>0</v>
      </c>
      <c r="G1152" s="1" t="s">
        <v>1969</v>
      </c>
      <c r="H1152" s="2">
        <v>1</v>
      </c>
      <c r="I1152" s="2">
        <v>7</v>
      </c>
      <c r="J1152" s="15">
        <v>2.82</v>
      </c>
      <c r="K1152" s="40">
        <v>0</v>
      </c>
    </row>
    <row r="1153" spans="1:11" x14ac:dyDescent="0.25">
      <c r="A1153" s="1">
        <v>1160638</v>
      </c>
      <c r="B1153" s="1" t="s">
        <v>1166</v>
      </c>
      <c r="D1153" s="2">
        <v>0</v>
      </c>
      <c r="E1153" s="2" t="s">
        <v>0</v>
      </c>
      <c r="G1153" s="1" t="s">
        <v>1969</v>
      </c>
      <c r="H1153" s="2">
        <v>1</v>
      </c>
      <c r="I1153" s="2">
        <v>42</v>
      </c>
      <c r="J1153" s="15">
        <v>937.45</v>
      </c>
      <c r="K1153" s="40">
        <v>0</v>
      </c>
    </row>
    <row r="1154" spans="1:11" x14ac:dyDescent="0.25">
      <c r="A1154" s="1">
        <v>1162459</v>
      </c>
      <c r="B1154" s="1" t="s">
        <v>1167</v>
      </c>
      <c r="D1154" s="2">
        <v>0</v>
      </c>
      <c r="E1154" s="2" t="s">
        <v>0</v>
      </c>
      <c r="G1154" s="1" t="s">
        <v>786</v>
      </c>
      <c r="H1154" s="2">
        <v>1</v>
      </c>
      <c r="I1154" s="2">
        <v>7</v>
      </c>
      <c r="J1154" s="15">
        <v>9.69</v>
      </c>
      <c r="K1154" s="40">
        <v>0</v>
      </c>
    </row>
    <row r="1155" spans="1:11" x14ac:dyDescent="0.25">
      <c r="A1155" s="1">
        <v>1162678</v>
      </c>
      <c r="B1155" s="1" t="s">
        <v>1168</v>
      </c>
      <c r="D1155" s="2">
        <v>0</v>
      </c>
      <c r="E1155" s="2" t="s">
        <v>0</v>
      </c>
      <c r="G1155" s="1" t="s">
        <v>786</v>
      </c>
      <c r="H1155" s="2">
        <v>1</v>
      </c>
      <c r="I1155" s="2">
        <v>21</v>
      </c>
      <c r="J1155" s="15">
        <v>8.06</v>
      </c>
      <c r="K1155" s="40">
        <v>0</v>
      </c>
    </row>
    <row r="1156" spans="1:11" x14ac:dyDescent="0.25">
      <c r="A1156" s="1">
        <v>1163784</v>
      </c>
      <c r="B1156" s="1" t="s">
        <v>1169</v>
      </c>
      <c r="D1156" s="2">
        <v>0</v>
      </c>
      <c r="E1156" s="2" t="s">
        <v>0</v>
      </c>
      <c r="G1156" s="1" t="s">
        <v>1969</v>
      </c>
      <c r="H1156" s="2">
        <v>1</v>
      </c>
      <c r="I1156" s="2">
        <v>42</v>
      </c>
      <c r="J1156" s="15">
        <v>1227.56</v>
      </c>
      <c r="K1156" s="40">
        <v>0</v>
      </c>
    </row>
    <row r="1157" spans="1:11" x14ac:dyDescent="0.25">
      <c r="A1157" s="1">
        <v>1163848</v>
      </c>
      <c r="B1157" s="1" t="s">
        <v>1170</v>
      </c>
      <c r="D1157" s="2">
        <v>0</v>
      </c>
      <c r="E1157" s="2" t="s">
        <v>0</v>
      </c>
      <c r="G1157" s="1" t="s">
        <v>1968</v>
      </c>
      <c r="H1157" s="2">
        <v>1</v>
      </c>
      <c r="J1157" s="15">
        <v>32.78</v>
      </c>
      <c r="K1157" s="40">
        <v>0</v>
      </c>
    </row>
    <row r="1158" spans="1:11" x14ac:dyDescent="0.25">
      <c r="A1158" s="1">
        <v>1165030</v>
      </c>
      <c r="B1158" s="1" t="s">
        <v>1171</v>
      </c>
      <c r="D1158" s="2">
        <v>0</v>
      </c>
      <c r="E1158" s="2" t="s">
        <v>0</v>
      </c>
      <c r="G1158" s="1" t="s">
        <v>1969</v>
      </c>
      <c r="H1158" s="2">
        <v>400</v>
      </c>
      <c r="I1158" s="2">
        <v>3</v>
      </c>
      <c r="J1158" s="15">
        <v>0.08</v>
      </c>
      <c r="K1158" s="40">
        <v>0</v>
      </c>
    </row>
    <row r="1159" spans="1:11" x14ac:dyDescent="0.25">
      <c r="A1159" s="1">
        <v>1172401</v>
      </c>
      <c r="B1159" s="1" t="s">
        <v>1172</v>
      </c>
      <c r="D1159" s="2">
        <v>0</v>
      </c>
      <c r="E1159" s="2" t="s">
        <v>0</v>
      </c>
      <c r="G1159" s="1" t="s">
        <v>786</v>
      </c>
      <c r="H1159" s="2">
        <v>1</v>
      </c>
      <c r="I1159" s="2">
        <v>14</v>
      </c>
      <c r="K1159" s="40">
        <v>0</v>
      </c>
    </row>
    <row r="1160" spans="1:11" x14ac:dyDescent="0.25">
      <c r="A1160" s="1">
        <v>1174268</v>
      </c>
      <c r="B1160" s="1" t="s">
        <v>1173</v>
      </c>
      <c r="D1160" s="2">
        <v>0</v>
      </c>
      <c r="E1160" s="2" t="s">
        <v>0</v>
      </c>
      <c r="G1160" s="1" t="s">
        <v>786</v>
      </c>
      <c r="H1160" s="2">
        <v>1</v>
      </c>
      <c r="J1160" s="15">
        <v>487.28</v>
      </c>
      <c r="K1160" s="40">
        <v>0</v>
      </c>
    </row>
    <row r="1161" spans="1:11" x14ac:dyDescent="0.25">
      <c r="A1161" s="1">
        <v>1174270</v>
      </c>
      <c r="B1161" s="1" t="s">
        <v>1174</v>
      </c>
      <c r="D1161" s="2">
        <v>0</v>
      </c>
      <c r="E1161" s="2" t="s">
        <v>0</v>
      </c>
      <c r="G1161" s="1" t="s">
        <v>1968</v>
      </c>
      <c r="H1161" s="2">
        <v>1</v>
      </c>
      <c r="J1161" s="15">
        <v>295.35000000000002</v>
      </c>
      <c r="K1161" s="40">
        <v>0</v>
      </c>
    </row>
    <row r="1162" spans="1:11" x14ac:dyDescent="0.25">
      <c r="A1162" s="1">
        <v>1175963</v>
      </c>
      <c r="B1162" s="1" t="s">
        <v>1175</v>
      </c>
      <c r="D1162" s="2">
        <v>0</v>
      </c>
      <c r="E1162" s="2" t="s">
        <v>0</v>
      </c>
      <c r="G1162" s="1" t="s">
        <v>1969</v>
      </c>
      <c r="H1162" s="2">
        <v>1</v>
      </c>
      <c r="I1162" s="2">
        <v>35</v>
      </c>
      <c r="J1162" s="15">
        <v>984.61</v>
      </c>
      <c r="K1162" s="40">
        <v>0</v>
      </c>
    </row>
    <row r="1163" spans="1:11" x14ac:dyDescent="0.25">
      <c r="A1163" s="1">
        <v>1186930</v>
      </c>
      <c r="B1163" s="1" t="s">
        <v>1176</v>
      </c>
      <c r="D1163" s="2">
        <v>0</v>
      </c>
      <c r="E1163" s="2" t="s">
        <v>0</v>
      </c>
      <c r="G1163" s="1" t="s">
        <v>1968</v>
      </c>
      <c r="H1163" s="2">
        <v>1</v>
      </c>
      <c r="J1163" s="15">
        <v>30.83</v>
      </c>
      <c r="K1163" s="40">
        <v>0</v>
      </c>
    </row>
    <row r="1164" spans="1:11" x14ac:dyDescent="0.25">
      <c r="A1164" s="1">
        <v>1202675</v>
      </c>
      <c r="B1164" s="1" t="s">
        <v>1177</v>
      </c>
      <c r="D1164" s="2">
        <v>0</v>
      </c>
      <c r="E1164" s="2" t="s">
        <v>0</v>
      </c>
      <c r="G1164" s="1" t="s">
        <v>786</v>
      </c>
      <c r="H1164" s="2">
        <v>1</v>
      </c>
      <c r="J1164" s="15">
        <v>10.88</v>
      </c>
      <c r="K1164" s="40">
        <v>0</v>
      </c>
    </row>
    <row r="1165" spans="1:11" x14ac:dyDescent="0.25">
      <c r="A1165" s="1">
        <v>1213262</v>
      </c>
      <c r="B1165" s="1" t="s">
        <v>1178</v>
      </c>
      <c r="D1165" s="2">
        <v>0</v>
      </c>
      <c r="E1165" s="2" t="s">
        <v>0</v>
      </c>
      <c r="G1165" s="1" t="s">
        <v>1968</v>
      </c>
      <c r="H1165" s="2">
        <v>1</v>
      </c>
      <c r="J1165" s="15">
        <v>836.34</v>
      </c>
      <c r="K1165" s="40">
        <v>0</v>
      </c>
    </row>
    <row r="1166" spans="1:11" x14ac:dyDescent="0.25">
      <c r="A1166" s="1">
        <v>1213308</v>
      </c>
      <c r="B1166" s="1" t="s">
        <v>1179</v>
      </c>
      <c r="D1166" s="2">
        <v>0</v>
      </c>
      <c r="E1166" s="2" t="s">
        <v>131</v>
      </c>
      <c r="G1166" s="1" t="s">
        <v>786</v>
      </c>
      <c r="H1166" s="2">
        <v>1</v>
      </c>
      <c r="I1166" s="2">
        <v>7</v>
      </c>
      <c r="J1166" s="15">
        <v>102.52</v>
      </c>
      <c r="K1166" s="40">
        <v>0</v>
      </c>
    </row>
    <row r="1167" spans="1:11" x14ac:dyDescent="0.25">
      <c r="A1167" s="1">
        <v>1214816</v>
      </c>
      <c r="B1167" s="1" t="s">
        <v>1180</v>
      </c>
      <c r="D1167" s="2">
        <v>0</v>
      </c>
      <c r="E1167" s="2" t="s">
        <v>0</v>
      </c>
      <c r="G1167" s="1" t="s">
        <v>1969</v>
      </c>
      <c r="H1167" s="2">
        <v>1</v>
      </c>
      <c r="I1167" s="2">
        <v>49</v>
      </c>
      <c r="J1167" s="15">
        <v>177.64</v>
      </c>
      <c r="K1167" s="40">
        <v>0</v>
      </c>
    </row>
    <row r="1168" spans="1:11" x14ac:dyDescent="0.25">
      <c r="A1168" s="1">
        <v>1214818</v>
      </c>
      <c r="B1168" s="1" t="s">
        <v>1181</v>
      </c>
      <c r="D1168" s="2">
        <v>0</v>
      </c>
      <c r="E1168" s="2" t="s">
        <v>0</v>
      </c>
      <c r="G1168" s="1" t="s">
        <v>1969</v>
      </c>
      <c r="H1168" s="2">
        <v>1</v>
      </c>
      <c r="I1168" s="2">
        <v>49</v>
      </c>
      <c r="J1168" s="15">
        <v>50.64</v>
      </c>
      <c r="K1168" s="40">
        <v>0</v>
      </c>
    </row>
    <row r="1169" spans="1:11" x14ac:dyDescent="0.25">
      <c r="A1169" s="1">
        <v>1215145</v>
      </c>
      <c r="B1169" s="1" t="s">
        <v>1182</v>
      </c>
      <c r="D1169" s="2">
        <v>0</v>
      </c>
      <c r="E1169" s="2" t="s">
        <v>0</v>
      </c>
      <c r="G1169" s="1" t="s">
        <v>1969</v>
      </c>
      <c r="H1169" s="2">
        <v>1</v>
      </c>
      <c r="I1169" s="2">
        <v>28</v>
      </c>
      <c r="J1169" s="15">
        <v>25.66</v>
      </c>
      <c r="K1169" s="40">
        <v>0</v>
      </c>
    </row>
    <row r="1170" spans="1:11" x14ac:dyDescent="0.25">
      <c r="A1170" s="1">
        <v>1215146</v>
      </c>
      <c r="B1170" s="1" t="s">
        <v>1183</v>
      </c>
      <c r="D1170" s="2">
        <v>0</v>
      </c>
      <c r="E1170" s="2" t="s">
        <v>0</v>
      </c>
      <c r="G1170" s="1" t="s">
        <v>1969</v>
      </c>
      <c r="H1170" s="2">
        <v>1</v>
      </c>
      <c r="I1170" s="2">
        <v>28</v>
      </c>
      <c r="J1170" s="15">
        <v>26.21</v>
      </c>
      <c r="K1170" s="40">
        <v>0</v>
      </c>
    </row>
    <row r="1171" spans="1:11" x14ac:dyDescent="0.25">
      <c r="A1171" s="1">
        <v>1215148</v>
      </c>
      <c r="B1171" s="1" t="s">
        <v>1184</v>
      </c>
      <c r="D1171" s="2">
        <v>0</v>
      </c>
      <c r="E1171" s="2" t="s">
        <v>0</v>
      </c>
      <c r="G1171" s="1" t="s">
        <v>1969</v>
      </c>
      <c r="H1171" s="2">
        <v>1</v>
      </c>
      <c r="I1171" s="2">
        <v>28</v>
      </c>
      <c r="J1171" s="15">
        <v>28.76</v>
      </c>
      <c r="K1171" s="40">
        <v>0</v>
      </c>
    </row>
    <row r="1172" spans="1:11" x14ac:dyDescent="0.25">
      <c r="A1172" s="1">
        <v>1221363</v>
      </c>
      <c r="B1172" s="1" t="s">
        <v>1185</v>
      </c>
      <c r="D1172" s="2">
        <v>0</v>
      </c>
      <c r="E1172" s="2" t="s">
        <v>0</v>
      </c>
      <c r="G1172" s="1" t="s">
        <v>1968</v>
      </c>
      <c r="H1172" s="2">
        <v>10</v>
      </c>
      <c r="J1172" s="15">
        <v>0.81</v>
      </c>
      <c r="K1172" s="40">
        <v>0</v>
      </c>
    </row>
    <row r="1173" spans="1:11" x14ac:dyDescent="0.25">
      <c r="A1173" s="1">
        <v>1223606</v>
      </c>
      <c r="B1173" s="1" t="s">
        <v>1186</v>
      </c>
      <c r="D1173" s="2">
        <v>0</v>
      </c>
      <c r="E1173" s="2" t="s">
        <v>302</v>
      </c>
      <c r="G1173" s="1" t="s">
        <v>786</v>
      </c>
      <c r="H1173" s="2">
        <v>1</v>
      </c>
      <c r="I1173" s="2">
        <v>14</v>
      </c>
      <c r="J1173" s="15">
        <v>14.22</v>
      </c>
      <c r="K1173" s="40">
        <v>0</v>
      </c>
    </row>
    <row r="1174" spans="1:11" x14ac:dyDescent="0.25">
      <c r="A1174" s="1">
        <v>1229730</v>
      </c>
      <c r="B1174" s="1" t="s">
        <v>1187</v>
      </c>
      <c r="D1174" s="2">
        <v>0</v>
      </c>
      <c r="E1174" s="2" t="s">
        <v>0</v>
      </c>
      <c r="G1174" s="1" t="s">
        <v>1968</v>
      </c>
      <c r="H1174" s="2">
        <v>1</v>
      </c>
      <c r="J1174" s="15">
        <v>8.31</v>
      </c>
      <c r="K1174" s="40">
        <v>0</v>
      </c>
    </row>
    <row r="1175" spans="1:11" x14ac:dyDescent="0.25">
      <c r="A1175" s="1">
        <v>1231198</v>
      </c>
      <c r="B1175" s="1" t="s">
        <v>1188</v>
      </c>
      <c r="D1175" s="2">
        <v>0</v>
      </c>
      <c r="E1175" s="2" t="s">
        <v>0</v>
      </c>
      <c r="G1175" s="1" t="s">
        <v>1968</v>
      </c>
      <c r="H1175" s="2">
        <v>1</v>
      </c>
      <c r="J1175" s="15">
        <v>238.57</v>
      </c>
      <c r="K1175" s="40">
        <v>0</v>
      </c>
    </row>
    <row r="1176" spans="1:11" x14ac:dyDescent="0.25">
      <c r="A1176" s="1">
        <v>1231450</v>
      </c>
      <c r="B1176" s="1" t="s">
        <v>1189</v>
      </c>
      <c r="D1176" s="2">
        <v>0</v>
      </c>
      <c r="E1176" s="2" t="s">
        <v>0</v>
      </c>
      <c r="G1176" s="1" t="s">
        <v>1969</v>
      </c>
      <c r="H1176" s="2">
        <v>1</v>
      </c>
      <c r="I1176" s="2">
        <v>21</v>
      </c>
      <c r="J1176" s="15">
        <v>82.33</v>
      </c>
      <c r="K1176" s="40">
        <v>0</v>
      </c>
    </row>
    <row r="1177" spans="1:11" x14ac:dyDescent="0.25">
      <c r="A1177" s="1">
        <v>1249077</v>
      </c>
      <c r="B1177" s="1" t="s">
        <v>1190</v>
      </c>
      <c r="D1177" s="2">
        <v>0</v>
      </c>
      <c r="E1177" s="2" t="s">
        <v>131</v>
      </c>
      <c r="G1177" s="1" t="s">
        <v>1968</v>
      </c>
      <c r="H1177" s="2">
        <v>1</v>
      </c>
      <c r="J1177" s="15">
        <v>2.09</v>
      </c>
      <c r="K1177" s="40">
        <v>0</v>
      </c>
    </row>
    <row r="1178" spans="1:11" x14ac:dyDescent="0.25">
      <c r="A1178" s="1">
        <v>1249078</v>
      </c>
      <c r="B1178" s="1" t="s">
        <v>1191</v>
      </c>
      <c r="D1178" s="2">
        <v>0</v>
      </c>
      <c r="E1178" s="2" t="s">
        <v>131</v>
      </c>
      <c r="G1178" s="1" t="s">
        <v>1968</v>
      </c>
      <c r="H1178" s="2">
        <v>1</v>
      </c>
      <c r="J1178" s="15">
        <v>2.09</v>
      </c>
      <c r="K1178" s="40">
        <v>0</v>
      </c>
    </row>
    <row r="1179" spans="1:11" x14ac:dyDescent="0.25">
      <c r="A1179" s="1">
        <v>1249079</v>
      </c>
      <c r="B1179" s="1" t="s">
        <v>1192</v>
      </c>
      <c r="D1179" s="2">
        <v>0</v>
      </c>
      <c r="E1179" s="2" t="s">
        <v>131</v>
      </c>
      <c r="G1179" s="1" t="s">
        <v>1968</v>
      </c>
      <c r="H1179" s="2">
        <v>1</v>
      </c>
      <c r="J1179" s="15">
        <v>2.09</v>
      </c>
      <c r="K1179" s="40">
        <v>0</v>
      </c>
    </row>
    <row r="1180" spans="1:11" x14ac:dyDescent="0.25">
      <c r="A1180" s="1">
        <v>1249080</v>
      </c>
      <c r="B1180" s="1" t="s">
        <v>1193</v>
      </c>
      <c r="D1180" s="2">
        <v>0</v>
      </c>
      <c r="E1180" s="2" t="s">
        <v>131</v>
      </c>
      <c r="G1180" s="1" t="s">
        <v>1968</v>
      </c>
      <c r="H1180" s="2">
        <v>1</v>
      </c>
      <c r="J1180" s="15">
        <v>2.09</v>
      </c>
      <c r="K1180" s="40">
        <v>0</v>
      </c>
    </row>
    <row r="1181" spans="1:11" x14ac:dyDescent="0.25">
      <c r="A1181" s="1">
        <v>1249081</v>
      </c>
      <c r="B1181" s="1" t="s">
        <v>1194</v>
      </c>
      <c r="D1181" s="2">
        <v>0</v>
      </c>
      <c r="E1181" s="2" t="s">
        <v>131</v>
      </c>
      <c r="G1181" s="1" t="s">
        <v>1968</v>
      </c>
      <c r="H1181" s="2">
        <v>1</v>
      </c>
      <c r="J1181" s="15">
        <v>2.09</v>
      </c>
      <c r="K1181" s="40">
        <v>0</v>
      </c>
    </row>
    <row r="1182" spans="1:11" x14ac:dyDescent="0.25">
      <c r="A1182" s="1">
        <v>1249082</v>
      </c>
      <c r="B1182" s="1" t="s">
        <v>1195</v>
      </c>
      <c r="D1182" s="2">
        <v>0</v>
      </c>
      <c r="E1182" s="2" t="s">
        <v>131</v>
      </c>
      <c r="G1182" s="1" t="s">
        <v>1968</v>
      </c>
      <c r="H1182" s="2">
        <v>1</v>
      </c>
      <c r="J1182" s="15">
        <v>2.09</v>
      </c>
      <c r="K1182" s="40">
        <v>0</v>
      </c>
    </row>
    <row r="1183" spans="1:11" x14ac:dyDescent="0.25">
      <c r="A1183" s="1">
        <v>1249083</v>
      </c>
      <c r="B1183" s="1" t="s">
        <v>1196</v>
      </c>
      <c r="D1183" s="2">
        <v>0</v>
      </c>
      <c r="E1183" s="2" t="s">
        <v>131</v>
      </c>
      <c r="G1183" s="1" t="s">
        <v>1968</v>
      </c>
      <c r="H1183" s="2">
        <v>1</v>
      </c>
      <c r="J1183" s="15">
        <v>2.09</v>
      </c>
      <c r="K1183" s="40">
        <v>0</v>
      </c>
    </row>
    <row r="1184" spans="1:11" x14ac:dyDescent="0.25">
      <c r="A1184" s="1">
        <v>1249084</v>
      </c>
      <c r="B1184" s="1" t="s">
        <v>1197</v>
      </c>
      <c r="D1184" s="2">
        <v>0</v>
      </c>
      <c r="E1184" s="2" t="s">
        <v>131</v>
      </c>
      <c r="G1184" s="1" t="s">
        <v>1968</v>
      </c>
      <c r="H1184" s="2">
        <v>1</v>
      </c>
      <c r="J1184" s="15">
        <v>2.09</v>
      </c>
      <c r="K1184" s="40">
        <v>0</v>
      </c>
    </row>
    <row r="1185" spans="1:11" x14ac:dyDescent="0.25">
      <c r="A1185" s="1">
        <v>1249085</v>
      </c>
      <c r="B1185" s="1" t="s">
        <v>1198</v>
      </c>
      <c r="D1185" s="2">
        <v>0</v>
      </c>
      <c r="E1185" s="2" t="s">
        <v>131</v>
      </c>
      <c r="G1185" s="1" t="s">
        <v>1968</v>
      </c>
      <c r="H1185" s="2">
        <v>1</v>
      </c>
      <c r="J1185" s="15">
        <v>2.09</v>
      </c>
      <c r="K1185" s="40">
        <v>0</v>
      </c>
    </row>
    <row r="1186" spans="1:11" x14ac:dyDescent="0.25">
      <c r="A1186" s="1">
        <v>1249086</v>
      </c>
      <c r="B1186" s="1" t="s">
        <v>1199</v>
      </c>
      <c r="D1186" s="2">
        <v>0</v>
      </c>
      <c r="E1186" s="2" t="s">
        <v>131</v>
      </c>
      <c r="G1186" s="1" t="s">
        <v>1968</v>
      </c>
      <c r="H1186" s="2">
        <v>1</v>
      </c>
      <c r="J1186" s="15">
        <v>2.09</v>
      </c>
      <c r="K1186" s="40">
        <v>0</v>
      </c>
    </row>
    <row r="1187" spans="1:11" x14ac:dyDescent="0.25">
      <c r="A1187" s="1">
        <v>1249087</v>
      </c>
      <c r="B1187" s="1" t="s">
        <v>1200</v>
      </c>
      <c r="D1187" s="2">
        <v>0</v>
      </c>
      <c r="E1187" s="2" t="s">
        <v>131</v>
      </c>
      <c r="G1187" s="1" t="s">
        <v>1968</v>
      </c>
      <c r="H1187" s="2">
        <v>1</v>
      </c>
      <c r="J1187" s="15">
        <v>2.09</v>
      </c>
      <c r="K1187" s="40">
        <v>0</v>
      </c>
    </row>
    <row r="1188" spans="1:11" x14ac:dyDescent="0.25">
      <c r="A1188" s="1">
        <v>1249088</v>
      </c>
      <c r="B1188" s="1" t="s">
        <v>1201</v>
      </c>
      <c r="D1188" s="2">
        <v>0</v>
      </c>
      <c r="E1188" s="2" t="s">
        <v>131</v>
      </c>
      <c r="G1188" s="1" t="s">
        <v>1968</v>
      </c>
      <c r="H1188" s="2">
        <v>1</v>
      </c>
      <c r="J1188" s="15">
        <v>2.09</v>
      </c>
      <c r="K1188" s="40">
        <v>0</v>
      </c>
    </row>
    <row r="1189" spans="1:11" x14ac:dyDescent="0.25">
      <c r="A1189" s="1">
        <v>1249089</v>
      </c>
      <c r="B1189" s="1" t="s">
        <v>1202</v>
      </c>
      <c r="D1189" s="2">
        <v>0</v>
      </c>
      <c r="E1189" s="2" t="s">
        <v>131</v>
      </c>
      <c r="G1189" s="1" t="s">
        <v>1968</v>
      </c>
      <c r="H1189" s="2">
        <v>1</v>
      </c>
      <c r="J1189" s="15">
        <v>2.09</v>
      </c>
      <c r="K1189" s="40">
        <v>0</v>
      </c>
    </row>
    <row r="1190" spans="1:11" x14ac:dyDescent="0.25">
      <c r="A1190" s="1">
        <v>1249090</v>
      </c>
      <c r="B1190" s="1" t="s">
        <v>1203</v>
      </c>
      <c r="D1190" s="2">
        <v>0</v>
      </c>
      <c r="E1190" s="2" t="s">
        <v>131</v>
      </c>
      <c r="G1190" s="1" t="s">
        <v>1968</v>
      </c>
      <c r="H1190" s="2">
        <v>1</v>
      </c>
      <c r="J1190" s="15">
        <v>2.09</v>
      </c>
      <c r="K1190" s="40">
        <v>0</v>
      </c>
    </row>
    <row r="1191" spans="1:11" x14ac:dyDescent="0.25">
      <c r="A1191" s="1">
        <v>1249091</v>
      </c>
      <c r="B1191" s="1" t="s">
        <v>1204</v>
      </c>
      <c r="D1191" s="2">
        <v>0</v>
      </c>
      <c r="E1191" s="2" t="s">
        <v>131</v>
      </c>
      <c r="G1191" s="1" t="s">
        <v>1968</v>
      </c>
      <c r="H1191" s="2">
        <v>1</v>
      </c>
      <c r="J1191" s="15">
        <v>2.09</v>
      </c>
      <c r="K1191" s="40">
        <v>0</v>
      </c>
    </row>
    <row r="1192" spans="1:11" x14ac:dyDescent="0.25">
      <c r="A1192" s="1">
        <v>1249723</v>
      </c>
      <c r="B1192" s="1" t="s">
        <v>1205</v>
      </c>
      <c r="D1192" s="2">
        <v>0</v>
      </c>
      <c r="E1192" s="2" t="s">
        <v>0</v>
      </c>
      <c r="G1192" s="1" t="s">
        <v>1968</v>
      </c>
      <c r="H1192" s="2">
        <v>1</v>
      </c>
      <c r="J1192" s="15">
        <v>795.1</v>
      </c>
      <c r="K1192" s="40">
        <v>0</v>
      </c>
    </row>
    <row r="1193" spans="1:11" x14ac:dyDescent="0.25">
      <c r="A1193" s="1">
        <v>1249724</v>
      </c>
      <c r="B1193" s="1" t="s">
        <v>1206</v>
      </c>
      <c r="D1193" s="2">
        <v>0</v>
      </c>
      <c r="E1193" s="2" t="s">
        <v>0</v>
      </c>
      <c r="G1193" s="1" t="s">
        <v>1968</v>
      </c>
      <c r="H1193" s="2">
        <v>1</v>
      </c>
      <c r="J1193" s="15">
        <v>454.55</v>
      </c>
      <c r="K1193" s="40">
        <v>0</v>
      </c>
    </row>
    <row r="1194" spans="1:11" x14ac:dyDescent="0.25">
      <c r="A1194" s="1">
        <v>1249725</v>
      </c>
      <c r="B1194" s="1" t="s">
        <v>1207</v>
      </c>
      <c r="D1194" s="2">
        <v>0</v>
      </c>
      <c r="E1194" s="2" t="s">
        <v>0</v>
      </c>
      <c r="G1194" s="1" t="s">
        <v>1968</v>
      </c>
      <c r="H1194" s="2">
        <v>1</v>
      </c>
      <c r="J1194" s="15">
        <v>284.02999999999997</v>
      </c>
      <c r="K1194" s="40">
        <v>0</v>
      </c>
    </row>
    <row r="1195" spans="1:11" x14ac:dyDescent="0.25">
      <c r="A1195" s="1">
        <v>1249726</v>
      </c>
      <c r="B1195" s="1" t="s">
        <v>1208</v>
      </c>
      <c r="D1195" s="2">
        <v>0</v>
      </c>
      <c r="E1195" s="2" t="s">
        <v>0</v>
      </c>
      <c r="G1195" s="1" t="s">
        <v>1968</v>
      </c>
      <c r="H1195" s="2">
        <v>1</v>
      </c>
      <c r="J1195" s="15">
        <v>146.61000000000001</v>
      </c>
      <c r="K1195" s="40">
        <v>0</v>
      </c>
    </row>
    <row r="1196" spans="1:11" x14ac:dyDescent="0.25">
      <c r="A1196" s="1">
        <v>1249856</v>
      </c>
      <c r="B1196" s="1" t="s">
        <v>1209</v>
      </c>
      <c r="D1196" s="2">
        <v>0</v>
      </c>
      <c r="E1196" s="2" t="s">
        <v>131</v>
      </c>
      <c r="G1196" s="1" t="s">
        <v>1968</v>
      </c>
      <c r="H1196" s="2">
        <v>1</v>
      </c>
      <c r="J1196" s="15">
        <v>2.09</v>
      </c>
      <c r="K1196" s="40">
        <v>0</v>
      </c>
    </row>
    <row r="1197" spans="1:11" x14ac:dyDescent="0.25">
      <c r="A1197" s="1">
        <v>1251690</v>
      </c>
      <c r="B1197" s="1" t="s">
        <v>1210</v>
      </c>
      <c r="D1197" s="2">
        <v>0</v>
      </c>
      <c r="E1197" s="2" t="s">
        <v>0</v>
      </c>
      <c r="G1197" s="1" t="s">
        <v>1968</v>
      </c>
      <c r="H1197" s="2">
        <v>1</v>
      </c>
      <c r="J1197" s="15">
        <v>282.7</v>
      </c>
      <c r="K1197" s="40">
        <v>0</v>
      </c>
    </row>
    <row r="1198" spans="1:11" x14ac:dyDescent="0.25">
      <c r="A1198" s="1">
        <v>1251691</v>
      </c>
      <c r="B1198" s="1" t="s">
        <v>1211</v>
      </c>
      <c r="D1198" s="2">
        <v>0</v>
      </c>
      <c r="E1198" s="2" t="s">
        <v>0</v>
      </c>
      <c r="G1198" s="1" t="s">
        <v>1968</v>
      </c>
      <c r="H1198" s="2">
        <v>1</v>
      </c>
      <c r="J1198" s="15">
        <v>274.22000000000003</v>
      </c>
      <c r="K1198" s="40">
        <v>0</v>
      </c>
    </row>
    <row r="1199" spans="1:11" x14ac:dyDescent="0.25">
      <c r="A1199" s="1">
        <v>1251692</v>
      </c>
      <c r="B1199" s="1" t="s">
        <v>1212</v>
      </c>
      <c r="D1199" s="2">
        <v>0</v>
      </c>
      <c r="E1199" s="2" t="s">
        <v>0</v>
      </c>
      <c r="G1199" s="1" t="s">
        <v>1968</v>
      </c>
      <c r="H1199" s="2">
        <v>1</v>
      </c>
      <c r="J1199" s="15">
        <v>457.03</v>
      </c>
      <c r="K1199" s="40">
        <v>0</v>
      </c>
    </row>
    <row r="1200" spans="1:11" x14ac:dyDescent="0.25">
      <c r="A1200" s="1">
        <v>1254252</v>
      </c>
      <c r="B1200" s="1" t="s">
        <v>1213</v>
      </c>
      <c r="D1200" s="2">
        <v>0</v>
      </c>
      <c r="E1200" s="2" t="s">
        <v>0</v>
      </c>
      <c r="G1200" s="1" t="s">
        <v>786</v>
      </c>
      <c r="H1200" s="2">
        <v>1</v>
      </c>
      <c r="I1200" s="2">
        <v>42</v>
      </c>
      <c r="K1200" s="40">
        <v>0</v>
      </c>
    </row>
    <row r="1201" spans="1:11" x14ac:dyDescent="0.25">
      <c r="A1201" s="1">
        <v>1254254</v>
      </c>
      <c r="B1201" s="1" t="s">
        <v>1214</v>
      </c>
      <c r="D1201" s="2">
        <v>0</v>
      </c>
      <c r="E1201" s="2" t="s">
        <v>0</v>
      </c>
      <c r="G1201" s="1" t="s">
        <v>786</v>
      </c>
      <c r="H1201" s="2">
        <v>1</v>
      </c>
      <c r="I1201" s="2">
        <v>42</v>
      </c>
      <c r="K1201" s="40">
        <v>0</v>
      </c>
    </row>
    <row r="1202" spans="1:11" x14ac:dyDescent="0.25">
      <c r="A1202" s="1">
        <v>1254255</v>
      </c>
      <c r="B1202" s="1" t="s">
        <v>1215</v>
      </c>
      <c r="D1202" s="2">
        <v>0</v>
      </c>
      <c r="E1202" s="2" t="s">
        <v>0</v>
      </c>
      <c r="G1202" s="1" t="s">
        <v>786</v>
      </c>
      <c r="H1202" s="2">
        <v>1</v>
      </c>
      <c r="I1202" s="2">
        <v>42</v>
      </c>
      <c r="K1202" s="40">
        <v>0</v>
      </c>
    </row>
    <row r="1203" spans="1:11" x14ac:dyDescent="0.25">
      <c r="A1203" s="1">
        <v>1254256</v>
      </c>
      <c r="B1203" s="1" t="s">
        <v>1216</v>
      </c>
      <c r="D1203" s="2">
        <v>0</v>
      </c>
      <c r="E1203" s="2" t="s">
        <v>0</v>
      </c>
      <c r="G1203" s="1" t="s">
        <v>786</v>
      </c>
      <c r="H1203" s="2">
        <v>1</v>
      </c>
      <c r="K1203" s="40">
        <v>0</v>
      </c>
    </row>
    <row r="1204" spans="1:11" x14ac:dyDescent="0.25">
      <c r="A1204" s="1">
        <v>1254257</v>
      </c>
      <c r="B1204" s="1" t="s">
        <v>1217</v>
      </c>
      <c r="D1204" s="2">
        <v>0</v>
      </c>
      <c r="E1204" s="2" t="s">
        <v>0</v>
      </c>
      <c r="G1204" s="1" t="s">
        <v>786</v>
      </c>
      <c r="H1204" s="2">
        <v>1</v>
      </c>
      <c r="K1204" s="40">
        <v>0</v>
      </c>
    </row>
    <row r="1205" spans="1:11" x14ac:dyDescent="0.25">
      <c r="A1205" s="1">
        <v>1254258</v>
      </c>
      <c r="B1205" s="1" t="s">
        <v>1218</v>
      </c>
      <c r="D1205" s="2">
        <v>0</v>
      </c>
      <c r="E1205" s="2" t="s">
        <v>0</v>
      </c>
      <c r="G1205" s="1" t="s">
        <v>786</v>
      </c>
      <c r="H1205" s="2">
        <v>1</v>
      </c>
      <c r="K1205" s="40">
        <v>0</v>
      </c>
    </row>
    <row r="1206" spans="1:11" x14ac:dyDescent="0.25">
      <c r="A1206" s="1">
        <v>1254259</v>
      </c>
      <c r="B1206" s="1" t="s">
        <v>1219</v>
      </c>
      <c r="D1206" s="2">
        <v>0</v>
      </c>
      <c r="E1206" s="2" t="s">
        <v>0</v>
      </c>
      <c r="G1206" s="1" t="s">
        <v>786</v>
      </c>
      <c r="H1206" s="2">
        <v>1</v>
      </c>
      <c r="I1206" s="2">
        <v>42</v>
      </c>
      <c r="K1206" s="40">
        <v>0</v>
      </c>
    </row>
    <row r="1207" spans="1:11" x14ac:dyDescent="0.25">
      <c r="A1207" s="1">
        <v>1254260</v>
      </c>
      <c r="B1207" s="1" t="s">
        <v>1220</v>
      </c>
      <c r="D1207" s="2">
        <v>0</v>
      </c>
      <c r="E1207" s="2" t="s">
        <v>0</v>
      </c>
      <c r="G1207" s="1" t="s">
        <v>786</v>
      </c>
      <c r="H1207" s="2">
        <v>1</v>
      </c>
      <c r="I1207" s="2">
        <v>42</v>
      </c>
      <c r="K1207" s="40">
        <v>0</v>
      </c>
    </row>
    <row r="1208" spans="1:11" x14ac:dyDescent="0.25">
      <c r="A1208" s="1">
        <v>1254262</v>
      </c>
      <c r="B1208" s="1" t="s">
        <v>1221</v>
      </c>
      <c r="D1208" s="2">
        <v>0</v>
      </c>
      <c r="E1208" s="2" t="s">
        <v>0</v>
      </c>
      <c r="G1208" s="1" t="s">
        <v>786</v>
      </c>
      <c r="H1208" s="2">
        <v>1</v>
      </c>
      <c r="K1208" s="40">
        <v>0</v>
      </c>
    </row>
    <row r="1209" spans="1:11" x14ac:dyDescent="0.25">
      <c r="A1209" s="1">
        <v>1254272</v>
      </c>
      <c r="B1209" s="1" t="s">
        <v>1222</v>
      </c>
      <c r="D1209" s="2">
        <v>0</v>
      </c>
      <c r="E1209" s="2" t="s">
        <v>0</v>
      </c>
      <c r="G1209" s="1" t="s">
        <v>1968</v>
      </c>
      <c r="H1209" s="2">
        <v>1</v>
      </c>
      <c r="J1209" s="15">
        <v>336.68</v>
      </c>
      <c r="K1209" s="40">
        <v>0</v>
      </c>
    </row>
    <row r="1210" spans="1:11" x14ac:dyDescent="0.25">
      <c r="A1210" s="1">
        <v>1254273</v>
      </c>
      <c r="B1210" s="1" t="s">
        <v>1223</v>
      </c>
      <c r="D1210" s="2">
        <v>0</v>
      </c>
      <c r="E1210" s="2" t="s">
        <v>0</v>
      </c>
      <c r="G1210" s="1" t="s">
        <v>1968</v>
      </c>
      <c r="H1210" s="2">
        <v>1</v>
      </c>
      <c r="J1210" s="15">
        <v>368.45</v>
      </c>
      <c r="K1210" s="40">
        <v>0</v>
      </c>
    </row>
    <row r="1211" spans="1:11" x14ac:dyDescent="0.25">
      <c r="A1211" s="1">
        <v>1254274</v>
      </c>
      <c r="B1211" s="1" t="s">
        <v>1224</v>
      </c>
      <c r="D1211" s="2">
        <v>0</v>
      </c>
      <c r="E1211" s="2" t="s">
        <v>0</v>
      </c>
      <c r="G1211" s="1" t="s">
        <v>1968</v>
      </c>
      <c r="H1211" s="2">
        <v>1</v>
      </c>
      <c r="J1211" s="15">
        <v>631.52</v>
      </c>
      <c r="K1211" s="40">
        <v>0</v>
      </c>
    </row>
    <row r="1212" spans="1:11" x14ac:dyDescent="0.25">
      <c r="A1212" s="1">
        <v>1254275</v>
      </c>
      <c r="B1212" s="1" t="s">
        <v>1225</v>
      </c>
      <c r="D1212" s="2">
        <v>0</v>
      </c>
      <c r="E1212" s="2" t="s">
        <v>0</v>
      </c>
      <c r="G1212" s="1" t="s">
        <v>1968</v>
      </c>
      <c r="H1212" s="2">
        <v>1</v>
      </c>
      <c r="J1212" s="15">
        <v>632.04</v>
      </c>
      <c r="K1212" s="40">
        <v>0</v>
      </c>
    </row>
    <row r="1213" spans="1:11" x14ac:dyDescent="0.25">
      <c r="A1213" s="1">
        <v>1254276</v>
      </c>
      <c r="B1213" s="1" t="s">
        <v>1226</v>
      </c>
      <c r="D1213" s="2">
        <v>0</v>
      </c>
      <c r="E1213" s="2" t="s">
        <v>0</v>
      </c>
      <c r="G1213" s="1" t="s">
        <v>1968</v>
      </c>
      <c r="H1213" s="2">
        <v>1</v>
      </c>
      <c r="J1213" s="15">
        <v>663.79</v>
      </c>
      <c r="K1213" s="40">
        <v>0</v>
      </c>
    </row>
    <row r="1214" spans="1:11" x14ac:dyDescent="0.25">
      <c r="A1214" s="1">
        <v>1254277</v>
      </c>
      <c r="B1214" s="1" t="s">
        <v>1227</v>
      </c>
      <c r="D1214" s="2">
        <v>0</v>
      </c>
      <c r="E1214" s="2" t="s">
        <v>0</v>
      </c>
      <c r="G1214" s="1" t="s">
        <v>1968</v>
      </c>
      <c r="H1214" s="2">
        <v>1</v>
      </c>
      <c r="J1214" s="15">
        <v>1251.97</v>
      </c>
      <c r="K1214" s="40">
        <v>0</v>
      </c>
    </row>
    <row r="1215" spans="1:11" x14ac:dyDescent="0.25">
      <c r="A1215" s="1">
        <v>1256869</v>
      </c>
      <c r="B1215" s="1" t="s">
        <v>1228</v>
      </c>
      <c r="D1215" s="2">
        <v>0</v>
      </c>
      <c r="E1215" s="2" t="s">
        <v>0</v>
      </c>
      <c r="G1215" s="1" t="s">
        <v>786</v>
      </c>
      <c r="H1215" s="2">
        <v>1</v>
      </c>
      <c r="I1215" s="2">
        <v>14</v>
      </c>
      <c r="J1215" s="15">
        <v>17.96</v>
      </c>
      <c r="K1215" s="40">
        <v>0</v>
      </c>
    </row>
    <row r="1216" spans="1:11" x14ac:dyDescent="0.25">
      <c r="A1216" s="1">
        <v>1267040</v>
      </c>
      <c r="B1216" s="1" t="s">
        <v>1229</v>
      </c>
      <c r="D1216" s="2">
        <v>0</v>
      </c>
      <c r="E1216" s="2" t="s">
        <v>0</v>
      </c>
      <c r="G1216" s="1" t="s">
        <v>1969</v>
      </c>
      <c r="H1216" s="2">
        <v>1</v>
      </c>
      <c r="I1216" s="2">
        <v>14</v>
      </c>
      <c r="J1216" s="15">
        <v>254.97</v>
      </c>
      <c r="K1216" s="40">
        <v>0</v>
      </c>
    </row>
    <row r="1217" spans="1:11" x14ac:dyDescent="0.25">
      <c r="A1217" s="1">
        <v>1270078</v>
      </c>
      <c r="B1217" s="1" t="s">
        <v>1230</v>
      </c>
      <c r="D1217" s="2">
        <v>0</v>
      </c>
      <c r="E1217" s="2" t="s">
        <v>0</v>
      </c>
      <c r="G1217" s="1" t="s">
        <v>1969</v>
      </c>
      <c r="H1217" s="2">
        <v>1</v>
      </c>
      <c r="I1217" s="2">
        <v>63</v>
      </c>
      <c r="J1217" s="15">
        <v>3440.76</v>
      </c>
      <c r="K1217" s="40">
        <v>0</v>
      </c>
    </row>
    <row r="1218" spans="1:11" x14ac:dyDescent="0.25">
      <c r="A1218" s="1">
        <v>1271271</v>
      </c>
      <c r="B1218" s="1" t="s">
        <v>1231</v>
      </c>
      <c r="D1218" s="2">
        <v>0</v>
      </c>
      <c r="E1218" s="2" t="s">
        <v>0</v>
      </c>
      <c r="G1218" s="1" t="s">
        <v>1968</v>
      </c>
      <c r="H1218" s="2">
        <v>1</v>
      </c>
      <c r="J1218" s="15">
        <v>8.7899999999999991</v>
      </c>
      <c r="K1218" s="40">
        <v>0</v>
      </c>
    </row>
    <row r="1219" spans="1:11" x14ac:dyDescent="0.25">
      <c r="A1219" s="1">
        <v>1279513</v>
      </c>
      <c r="B1219" s="1" t="s">
        <v>1232</v>
      </c>
      <c r="D1219" s="2">
        <v>0</v>
      </c>
      <c r="E1219" s="2" t="s">
        <v>0</v>
      </c>
      <c r="G1219" s="1" t="s">
        <v>1968</v>
      </c>
      <c r="H1219" s="2">
        <v>1</v>
      </c>
      <c r="J1219" s="15">
        <v>40.28</v>
      </c>
      <c r="K1219" s="40">
        <v>0</v>
      </c>
    </row>
    <row r="1220" spans="1:11" x14ac:dyDescent="0.25">
      <c r="A1220" s="1">
        <v>1279514</v>
      </c>
      <c r="B1220" s="1" t="s">
        <v>1233</v>
      </c>
      <c r="D1220" s="2">
        <v>0</v>
      </c>
      <c r="E1220" s="2" t="s">
        <v>0</v>
      </c>
      <c r="G1220" s="1" t="s">
        <v>786</v>
      </c>
      <c r="H1220" s="2">
        <v>1</v>
      </c>
      <c r="K1220" s="40">
        <v>0</v>
      </c>
    </row>
    <row r="1221" spans="1:11" x14ac:dyDescent="0.25">
      <c r="A1221" s="1">
        <v>1281330</v>
      </c>
      <c r="B1221" s="1" t="s">
        <v>1234</v>
      </c>
      <c r="D1221" s="2">
        <v>0</v>
      </c>
      <c r="E1221" s="2" t="s">
        <v>0</v>
      </c>
      <c r="G1221" s="1" t="s">
        <v>1968</v>
      </c>
      <c r="H1221" s="2">
        <v>1</v>
      </c>
      <c r="J1221" s="15">
        <v>47.88</v>
      </c>
      <c r="K1221" s="40">
        <v>0</v>
      </c>
    </row>
    <row r="1222" spans="1:11" x14ac:dyDescent="0.25">
      <c r="A1222" s="1">
        <v>1281331</v>
      </c>
      <c r="B1222" s="1" t="s">
        <v>1235</v>
      </c>
      <c r="D1222" s="2">
        <v>0</v>
      </c>
      <c r="E1222" s="2" t="s">
        <v>0</v>
      </c>
      <c r="G1222" s="1" t="s">
        <v>1968</v>
      </c>
      <c r="H1222" s="2">
        <v>1</v>
      </c>
      <c r="J1222" s="15">
        <v>13.2</v>
      </c>
      <c r="K1222" s="40">
        <v>0</v>
      </c>
    </row>
    <row r="1223" spans="1:11" x14ac:dyDescent="0.25">
      <c r="A1223" s="1">
        <v>1281352</v>
      </c>
      <c r="B1223" s="1" t="s">
        <v>1236</v>
      </c>
      <c r="D1223" s="2">
        <v>0</v>
      </c>
      <c r="E1223" s="2" t="s">
        <v>0</v>
      </c>
      <c r="G1223" s="1" t="s">
        <v>1968</v>
      </c>
      <c r="H1223" s="2">
        <v>1</v>
      </c>
      <c r="J1223" s="15">
        <v>42.96</v>
      </c>
      <c r="K1223" s="40">
        <v>0</v>
      </c>
    </row>
    <row r="1224" spans="1:11" x14ac:dyDescent="0.25">
      <c r="A1224" s="1">
        <v>1281423</v>
      </c>
      <c r="B1224" s="1" t="s">
        <v>1237</v>
      </c>
      <c r="D1224" s="2">
        <v>0</v>
      </c>
      <c r="E1224" s="2" t="s">
        <v>0</v>
      </c>
      <c r="G1224" s="1" t="s">
        <v>1968</v>
      </c>
      <c r="H1224" s="2">
        <v>1</v>
      </c>
      <c r="J1224" s="15">
        <v>30.81</v>
      </c>
      <c r="K1224" s="40">
        <v>0</v>
      </c>
    </row>
    <row r="1225" spans="1:11" x14ac:dyDescent="0.25">
      <c r="A1225" s="1">
        <v>1281443</v>
      </c>
      <c r="B1225" s="1" t="s">
        <v>1238</v>
      </c>
      <c r="D1225" s="2">
        <v>0</v>
      </c>
      <c r="E1225" s="2" t="s">
        <v>0</v>
      </c>
      <c r="G1225" s="1" t="s">
        <v>1968</v>
      </c>
      <c r="H1225" s="2">
        <v>1</v>
      </c>
      <c r="J1225" s="15">
        <v>330.36</v>
      </c>
      <c r="K1225" s="40">
        <v>0</v>
      </c>
    </row>
    <row r="1226" spans="1:11" x14ac:dyDescent="0.25">
      <c r="A1226" s="1">
        <v>1282909</v>
      </c>
      <c r="B1226" s="1" t="s">
        <v>1239</v>
      </c>
      <c r="D1226" s="2">
        <v>0</v>
      </c>
      <c r="E1226" s="2" t="s">
        <v>0</v>
      </c>
      <c r="G1226" s="1" t="s">
        <v>1968</v>
      </c>
      <c r="H1226" s="2">
        <v>1</v>
      </c>
      <c r="J1226" s="15">
        <v>260.45999999999998</v>
      </c>
      <c r="K1226" s="40">
        <v>0</v>
      </c>
    </row>
    <row r="1227" spans="1:11" x14ac:dyDescent="0.25">
      <c r="A1227" s="1">
        <v>1302576</v>
      </c>
      <c r="B1227" s="1" t="s">
        <v>1240</v>
      </c>
      <c r="D1227" s="2">
        <v>0</v>
      </c>
      <c r="E1227" s="2" t="s">
        <v>0</v>
      </c>
      <c r="G1227" s="1" t="s">
        <v>1968</v>
      </c>
      <c r="H1227" s="2">
        <v>1</v>
      </c>
      <c r="J1227" s="15">
        <v>58.8</v>
      </c>
      <c r="K1227" s="40">
        <v>0</v>
      </c>
    </row>
    <row r="1228" spans="1:11" x14ac:dyDescent="0.25">
      <c r="A1228" s="1">
        <v>1302580</v>
      </c>
      <c r="B1228" s="1" t="s">
        <v>1241</v>
      </c>
      <c r="D1228" s="2">
        <v>0</v>
      </c>
      <c r="E1228" s="2" t="s">
        <v>0</v>
      </c>
      <c r="G1228" s="1" t="s">
        <v>1968</v>
      </c>
      <c r="H1228" s="2">
        <v>1</v>
      </c>
      <c r="J1228" s="15">
        <v>68.180000000000007</v>
      </c>
      <c r="K1228" s="40">
        <v>0</v>
      </c>
    </row>
    <row r="1229" spans="1:11" x14ac:dyDescent="0.25">
      <c r="A1229" s="1">
        <v>1302581</v>
      </c>
      <c r="B1229" s="1" t="s">
        <v>1242</v>
      </c>
      <c r="D1229" s="2">
        <v>0</v>
      </c>
      <c r="E1229" s="2" t="s">
        <v>0</v>
      </c>
      <c r="G1229" s="1" t="s">
        <v>1968</v>
      </c>
      <c r="H1229" s="2">
        <v>1</v>
      </c>
      <c r="J1229" s="15">
        <v>69.73</v>
      </c>
      <c r="K1229" s="40">
        <v>0</v>
      </c>
    </row>
    <row r="1230" spans="1:11" x14ac:dyDescent="0.25">
      <c r="A1230" s="1">
        <v>1303429</v>
      </c>
      <c r="B1230" s="1" t="s">
        <v>1243</v>
      </c>
      <c r="D1230" s="2">
        <v>0</v>
      </c>
      <c r="E1230" s="2" t="s">
        <v>0</v>
      </c>
      <c r="G1230" s="1" t="s">
        <v>1968</v>
      </c>
      <c r="H1230" s="2">
        <v>1</v>
      </c>
      <c r="J1230" s="15">
        <v>66.62</v>
      </c>
      <c r="K1230" s="40">
        <v>0</v>
      </c>
    </row>
    <row r="1231" spans="1:11" x14ac:dyDescent="0.25">
      <c r="A1231" s="1">
        <v>1303431</v>
      </c>
      <c r="B1231" s="1" t="s">
        <v>1244</v>
      </c>
      <c r="D1231" s="2">
        <v>0</v>
      </c>
      <c r="E1231" s="2" t="s">
        <v>0</v>
      </c>
      <c r="G1231" s="1" t="s">
        <v>1968</v>
      </c>
      <c r="H1231" s="2">
        <v>1</v>
      </c>
      <c r="J1231" s="15">
        <v>69.73</v>
      </c>
      <c r="K1231" s="40">
        <v>0</v>
      </c>
    </row>
    <row r="1232" spans="1:11" x14ac:dyDescent="0.25">
      <c r="A1232" s="1">
        <v>1304920</v>
      </c>
      <c r="B1232" s="1" t="s">
        <v>1245</v>
      </c>
      <c r="D1232" s="2">
        <v>0</v>
      </c>
      <c r="E1232" s="2" t="s">
        <v>0</v>
      </c>
      <c r="G1232" s="1" t="s">
        <v>1969</v>
      </c>
      <c r="H1232" s="2">
        <v>50</v>
      </c>
      <c r="I1232" s="2">
        <v>7</v>
      </c>
      <c r="J1232" s="15">
        <v>5.69</v>
      </c>
      <c r="K1232" s="40">
        <v>0</v>
      </c>
    </row>
    <row r="1233" spans="1:11" x14ac:dyDescent="0.25">
      <c r="A1233" s="1">
        <v>1305790</v>
      </c>
      <c r="B1233" s="1" t="s">
        <v>1246</v>
      </c>
      <c r="D1233" s="2">
        <v>0</v>
      </c>
      <c r="E1233" s="2" t="s">
        <v>0</v>
      </c>
      <c r="G1233" s="1" t="s">
        <v>1968</v>
      </c>
      <c r="H1233" s="2">
        <v>1</v>
      </c>
      <c r="J1233" s="15">
        <v>95.13</v>
      </c>
      <c r="K1233" s="40">
        <v>0</v>
      </c>
    </row>
    <row r="1234" spans="1:11" x14ac:dyDescent="0.25">
      <c r="A1234" s="1">
        <v>1315977</v>
      </c>
      <c r="B1234" s="1" t="s">
        <v>1247</v>
      </c>
      <c r="D1234" s="2">
        <v>0</v>
      </c>
      <c r="E1234" s="2" t="s">
        <v>1901</v>
      </c>
      <c r="G1234" s="1" t="s">
        <v>1968</v>
      </c>
      <c r="H1234" s="2">
        <v>1</v>
      </c>
      <c r="J1234" s="15">
        <v>12.51</v>
      </c>
      <c r="K1234" s="40">
        <v>0</v>
      </c>
    </row>
    <row r="1235" spans="1:11" x14ac:dyDescent="0.25">
      <c r="A1235" s="1">
        <v>1323678</v>
      </c>
      <c r="B1235" s="1" t="s">
        <v>1248</v>
      </c>
      <c r="D1235" s="2">
        <v>0</v>
      </c>
      <c r="E1235" s="2" t="s">
        <v>0</v>
      </c>
      <c r="G1235" s="1" t="s">
        <v>1969</v>
      </c>
      <c r="H1235" s="2">
        <v>1</v>
      </c>
      <c r="I1235" s="2">
        <v>21</v>
      </c>
      <c r="K1235" s="40">
        <v>0</v>
      </c>
    </row>
    <row r="1236" spans="1:11" x14ac:dyDescent="0.25">
      <c r="A1236" s="1">
        <v>1323679</v>
      </c>
      <c r="B1236" s="1" t="s">
        <v>1249</v>
      </c>
      <c r="D1236" s="2">
        <v>0</v>
      </c>
      <c r="E1236" s="2" t="s">
        <v>0</v>
      </c>
      <c r="G1236" s="1" t="s">
        <v>1969</v>
      </c>
      <c r="H1236" s="2">
        <v>1</v>
      </c>
      <c r="I1236" s="2">
        <v>21</v>
      </c>
      <c r="K1236" s="40">
        <v>0</v>
      </c>
    </row>
    <row r="1237" spans="1:11" x14ac:dyDescent="0.25">
      <c r="A1237" s="1">
        <v>1333614</v>
      </c>
      <c r="B1237" s="1" t="s">
        <v>1250</v>
      </c>
      <c r="D1237" s="2">
        <v>0</v>
      </c>
      <c r="E1237" s="2" t="s">
        <v>0</v>
      </c>
      <c r="G1237" s="1" t="s">
        <v>1968</v>
      </c>
      <c r="H1237" s="2">
        <v>1</v>
      </c>
      <c r="J1237" s="15">
        <v>1108.44</v>
      </c>
      <c r="K1237" s="40">
        <v>0</v>
      </c>
    </row>
    <row r="1238" spans="1:11" x14ac:dyDescent="0.25">
      <c r="A1238" s="1">
        <v>1333615</v>
      </c>
      <c r="B1238" s="1" t="s">
        <v>1251</v>
      </c>
      <c r="D1238" s="2">
        <v>0</v>
      </c>
      <c r="E1238" s="2" t="s">
        <v>0</v>
      </c>
      <c r="G1238" s="1" t="s">
        <v>1968</v>
      </c>
      <c r="H1238" s="2">
        <v>1</v>
      </c>
      <c r="J1238" s="15">
        <v>1140.22</v>
      </c>
      <c r="K1238" s="40">
        <v>0</v>
      </c>
    </row>
    <row r="1239" spans="1:11" x14ac:dyDescent="0.25">
      <c r="A1239" s="1">
        <v>1333616</v>
      </c>
      <c r="B1239" s="1" t="s">
        <v>1252</v>
      </c>
      <c r="D1239" s="2">
        <v>0</v>
      </c>
      <c r="E1239" s="2" t="s">
        <v>0</v>
      </c>
      <c r="G1239" s="1" t="s">
        <v>1968</v>
      </c>
      <c r="H1239" s="2">
        <v>1</v>
      </c>
      <c r="J1239" s="15">
        <v>1805.94</v>
      </c>
      <c r="K1239" s="40">
        <v>0</v>
      </c>
    </row>
    <row r="1240" spans="1:11" x14ac:dyDescent="0.25">
      <c r="A1240" s="1">
        <v>1333617</v>
      </c>
      <c r="B1240" s="1" t="s">
        <v>1253</v>
      </c>
      <c r="D1240" s="2">
        <v>0</v>
      </c>
      <c r="E1240" s="2" t="s">
        <v>0</v>
      </c>
      <c r="G1240" s="1" t="s">
        <v>1968</v>
      </c>
      <c r="H1240" s="2">
        <v>1</v>
      </c>
      <c r="J1240" s="15">
        <v>1096.54</v>
      </c>
      <c r="K1240" s="40">
        <v>0</v>
      </c>
    </row>
    <row r="1241" spans="1:11" x14ac:dyDescent="0.25">
      <c r="A1241" s="1">
        <v>1333618</v>
      </c>
      <c r="B1241" s="1" t="s">
        <v>1254</v>
      </c>
      <c r="D1241" s="2">
        <v>0</v>
      </c>
      <c r="E1241" s="2" t="s">
        <v>0</v>
      </c>
      <c r="G1241" s="1" t="s">
        <v>1968</v>
      </c>
      <c r="H1241" s="2">
        <v>1</v>
      </c>
      <c r="J1241" s="15">
        <v>1116.3800000000001</v>
      </c>
      <c r="K1241" s="40">
        <v>0</v>
      </c>
    </row>
    <row r="1242" spans="1:11" x14ac:dyDescent="0.25">
      <c r="A1242" s="1">
        <v>1333619</v>
      </c>
      <c r="B1242" s="1" t="s">
        <v>1255</v>
      </c>
      <c r="D1242" s="2">
        <v>0</v>
      </c>
      <c r="E1242" s="2" t="s">
        <v>0</v>
      </c>
      <c r="G1242" s="1" t="s">
        <v>1968</v>
      </c>
      <c r="H1242" s="2">
        <v>1</v>
      </c>
      <c r="J1242" s="15">
        <v>1667.44</v>
      </c>
      <c r="K1242" s="40">
        <v>0</v>
      </c>
    </row>
    <row r="1243" spans="1:11" x14ac:dyDescent="0.25">
      <c r="A1243" s="1">
        <v>1353783</v>
      </c>
      <c r="B1243" s="1" t="s">
        <v>1256</v>
      </c>
      <c r="D1243" s="2">
        <v>0</v>
      </c>
      <c r="E1243" s="2" t="s">
        <v>0</v>
      </c>
      <c r="G1243" s="1" t="s">
        <v>1969</v>
      </c>
      <c r="H1243" s="2">
        <v>1</v>
      </c>
      <c r="I1243" s="2">
        <v>42</v>
      </c>
      <c r="J1243" s="15">
        <v>272.76</v>
      </c>
      <c r="K1243" s="40">
        <v>0</v>
      </c>
    </row>
    <row r="1244" spans="1:11" x14ac:dyDescent="0.25">
      <c r="A1244" s="1">
        <v>1354315</v>
      </c>
      <c r="B1244" s="1" t="s">
        <v>1257</v>
      </c>
      <c r="D1244" s="2">
        <v>0</v>
      </c>
      <c r="E1244" s="2" t="s">
        <v>1901</v>
      </c>
      <c r="G1244" s="1" t="s">
        <v>1969</v>
      </c>
      <c r="H1244" s="2">
        <v>6</v>
      </c>
      <c r="I1244" s="2">
        <v>14</v>
      </c>
      <c r="J1244" s="15">
        <v>6.12</v>
      </c>
      <c r="K1244" s="40">
        <v>0</v>
      </c>
    </row>
    <row r="1245" spans="1:11" x14ac:dyDescent="0.25">
      <c r="A1245" s="1">
        <v>1356661</v>
      </c>
      <c r="B1245" s="1" t="s">
        <v>1258</v>
      </c>
      <c r="D1245" s="2">
        <v>0</v>
      </c>
      <c r="E1245" s="2" t="s">
        <v>0</v>
      </c>
      <c r="G1245" s="1" t="s">
        <v>786</v>
      </c>
      <c r="H1245" s="2">
        <v>1</v>
      </c>
      <c r="K1245" s="40">
        <v>0</v>
      </c>
    </row>
    <row r="1246" spans="1:11" x14ac:dyDescent="0.25">
      <c r="A1246" s="1">
        <v>1356663</v>
      </c>
      <c r="B1246" s="1" t="s">
        <v>1259</v>
      </c>
      <c r="D1246" s="2">
        <v>0</v>
      </c>
      <c r="E1246" s="2" t="s">
        <v>0</v>
      </c>
      <c r="G1246" s="1" t="s">
        <v>786</v>
      </c>
      <c r="H1246" s="2">
        <v>1</v>
      </c>
      <c r="K1246" s="40">
        <v>0</v>
      </c>
    </row>
    <row r="1247" spans="1:11" x14ac:dyDescent="0.25">
      <c r="A1247" s="1">
        <v>1356665</v>
      </c>
      <c r="B1247" s="1" t="s">
        <v>1260</v>
      </c>
      <c r="D1247" s="2">
        <v>0</v>
      </c>
      <c r="E1247" s="2" t="s">
        <v>0</v>
      </c>
      <c r="G1247" s="1" t="s">
        <v>1968</v>
      </c>
      <c r="H1247" s="2">
        <v>1</v>
      </c>
      <c r="J1247" s="15">
        <v>664.72</v>
      </c>
      <c r="K1247" s="40">
        <v>0</v>
      </c>
    </row>
    <row r="1248" spans="1:11" x14ac:dyDescent="0.25">
      <c r="A1248" s="1">
        <v>1383873</v>
      </c>
      <c r="B1248" s="1" t="s">
        <v>1261</v>
      </c>
      <c r="D1248" s="2">
        <v>0</v>
      </c>
      <c r="E1248" s="2" t="s">
        <v>0</v>
      </c>
      <c r="G1248" s="1" t="s">
        <v>1968</v>
      </c>
      <c r="H1248" s="2">
        <v>1</v>
      </c>
      <c r="J1248" s="15">
        <v>816.17</v>
      </c>
      <c r="K1248" s="40">
        <v>0</v>
      </c>
    </row>
    <row r="1249" spans="1:11" x14ac:dyDescent="0.25">
      <c r="A1249" s="1">
        <v>1383876</v>
      </c>
      <c r="B1249" s="1" t="s">
        <v>1262</v>
      </c>
      <c r="D1249" s="2">
        <v>0</v>
      </c>
      <c r="E1249" s="2" t="s">
        <v>0</v>
      </c>
      <c r="G1249" s="1" t="s">
        <v>1968</v>
      </c>
      <c r="H1249" s="2">
        <v>1</v>
      </c>
      <c r="J1249" s="15">
        <v>1621.29</v>
      </c>
      <c r="K1249" s="40">
        <v>0</v>
      </c>
    </row>
    <row r="1250" spans="1:11" x14ac:dyDescent="0.25">
      <c r="A1250" s="1">
        <v>1383879</v>
      </c>
      <c r="B1250" s="1" t="s">
        <v>1263</v>
      </c>
      <c r="D1250" s="2">
        <v>0</v>
      </c>
      <c r="E1250" s="2" t="s">
        <v>0</v>
      </c>
      <c r="G1250" s="1" t="s">
        <v>1968</v>
      </c>
      <c r="H1250" s="2">
        <v>1</v>
      </c>
      <c r="J1250" s="15">
        <v>2242.5300000000002</v>
      </c>
      <c r="K1250" s="40">
        <v>0</v>
      </c>
    </row>
    <row r="1251" spans="1:11" x14ac:dyDescent="0.25">
      <c r="A1251" s="1">
        <v>1383882</v>
      </c>
      <c r="B1251" s="1" t="s">
        <v>1264</v>
      </c>
      <c r="D1251" s="2">
        <v>0</v>
      </c>
      <c r="E1251" s="2" t="s">
        <v>0</v>
      </c>
      <c r="G1251" s="1" t="s">
        <v>1968</v>
      </c>
      <c r="H1251" s="2">
        <v>1</v>
      </c>
      <c r="J1251" s="15">
        <v>1944.43</v>
      </c>
      <c r="K1251" s="40">
        <v>0</v>
      </c>
    </row>
    <row r="1252" spans="1:11" x14ac:dyDescent="0.25">
      <c r="A1252" s="1">
        <v>1385345</v>
      </c>
      <c r="B1252" s="1" t="s">
        <v>1265</v>
      </c>
      <c r="D1252" s="2">
        <v>0</v>
      </c>
      <c r="E1252" s="2" t="s">
        <v>0</v>
      </c>
      <c r="G1252" s="1" t="s">
        <v>786</v>
      </c>
      <c r="H1252" s="2">
        <v>1</v>
      </c>
      <c r="I1252" s="2">
        <v>21</v>
      </c>
      <c r="J1252" s="15">
        <v>45.95</v>
      </c>
      <c r="K1252" s="40">
        <v>0</v>
      </c>
    </row>
    <row r="1253" spans="1:11" x14ac:dyDescent="0.25">
      <c r="A1253" s="1">
        <v>1401664</v>
      </c>
      <c r="B1253" s="1" t="s">
        <v>1266</v>
      </c>
      <c r="D1253" s="2">
        <v>0</v>
      </c>
      <c r="E1253" s="2" t="s">
        <v>0</v>
      </c>
      <c r="G1253" s="1" t="s">
        <v>1968</v>
      </c>
      <c r="H1253" s="2">
        <v>1</v>
      </c>
      <c r="J1253" s="15">
        <v>7.63</v>
      </c>
      <c r="K1253" s="40">
        <v>0</v>
      </c>
    </row>
    <row r="1254" spans="1:11" x14ac:dyDescent="0.25">
      <c r="A1254" s="1">
        <v>1440786</v>
      </c>
      <c r="B1254" s="1" t="s">
        <v>1267</v>
      </c>
      <c r="D1254" s="2">
        <v>0</v>
      </c>
      <c r="E1254" s="2" t="s">
        <v>0</v>
      </c>
      <c r="G1254" s="1" t="s">
        <v>1968</v>
      </c>
      <c r="H1254" s="2">
        <v>1</v>
      </c>
      <c r="J1254" s="15">
        <v>260.02999999999997</v>
      </c>
      <c r="K1254" s="40">
        <v>0</v>
      </c>
    </row>
    <row r="1255" spans="1:11" x14ac:dyDescent="0.25">
      <c r="A1255" s="1">
        <v>1450664</v>
      </c>
      <c r="B1255" s="1" t="s">
        <v>1268</v>
      </c>
      <c r="D1255" s="2">
        <v>0</v>
      </c>
      <c r="E1255" s="2" t="s">
        <v>0</v>
      </c>
      <c r="G1255" s="1" t="s">
        <v>786</v>
      </c>
      <c r="H1255" s="2">
        <v>1</v>
      </c>
      <c r="J1255" s="15">
        <v>203.8</v>
      </c>
      <c r="K1255" s="40">
        <v>0</v>
      </c>
    </row>
    <row r="1256" spans="1:11" x14ac:dyDescent="0.25">
      <c r="A1256" s="1">
        <v>1461879</v>
      </c>
      <c r="B1256" s="1" t="s">
        <v>1269</v>
      </c>
      <c r="D1256" s="2">
        <v>0</v>
      </c>
      <c r="E1256" s="2" t="s">
        <v>0</v>
      </c>
      <c r="G1256" s="1" t="s">
        <v>1968</v>
      </c>
      <c r="H1256" s="2">
        <v>1</v>
      </c>
      <c r="J1256" s="15">
        <v>38.6</v>
      </c>
      <c r="K1256" s="40">
        <v>0</v>
      </c>
    </row>
    <row r="1257" spans="1:11" x14ac:dyDescent="0.25">
      <c r="A1257" s="1">
        <v>1461880</v>
      </c>
      <c r="B1257" s="1" t="s">
        <v>1270</v>
      </c>
      <c r="D1257" s="2">
        <v>0</v>
      </c>
      <c r="E1257" s="2" t="s">
        <v>0</v>
      </c>
      <c r="G1257" s="1" t="s">
        <v>1968</v>
      </c>
      <c r="H1257" s="2">
        <v>1</v>
      </c>
      <c r="J1257" s="15">
        <v>38.33</v>
      </c>
      <c r="K1257" s="40">
        <v>0</v>
      </c>
    </row>
    <row r="1258" spans="1:11" x14ac:dyDescent="0.25">
      <c r="A1258" s="1">
        <v>1461883</v>
      </c>
      <c r="B1258" s="1" t="s">
        <v>1271</v>
      </c>
      <c r="D1258" s="2">
        <v>0</v>
      </c>
      <c r="E1258" s="2" t="s">
        <v>0</v>
      </c>
      <c r="G1258" s="1" t="s">
        <v>1968</v>
      </c>
      <c r="H1258" s="2">
        <v>1</v>
      </c>
      <c r="J1258" s="15">
        <v>106.45</v>
      </c>
      <c r="K1258" s="40">
        <v>0</v>
      </c>
    </row>
    <row r="1259" spans="1:11" x14ac:dyDescent="0.25">
      <c r="A1259" s="1">
        <v>1473852</v>
      </c>
      <c r="B1259" s="1" t="s">
        <v>1272</v>
      </c>
      <c r="D1259" s="2">
        <v>0</v>
      </c>
      <c r="E1259" s="2" t="s">
        <v>0</v>
      </c>
      <c r="G1259" s="1" t="s">
        <v>1968</v>
      </c>
      <c r="H1259" s="2">
        <v>1</v>
      </c>
      <c r="J1259" s="15">
        <v>9465.69</v>
      </c>
      <c r="K1259" s="40">
        <v>0</v>
      </c>
    </row>
    <row r="1260" spans="1:11" x14ac:dyDescent="0.25">
      <c r="A1260" s="1">
        <v>1473853</v>
      </c>
      <c r="B1260" s="1" t="s">
        <v>1273</v>
      </c>
      <c r="D1260" s="2">
        <v>0</v>
      </c>
      <c r="E1260" s="2" t="s">
        <v>0</v>
      </c>
      <c r="G1260" s="1" t="s">
        <v>1968</v>
      </c>
      <c r="H1260" s="2">
        <v>1</v>
      </c>
      <c r="J1260" s="15">
        <v>8948.07</v>
      </c>
      <c r="K1260" s="40">
        <v>0</v>
      </c>
    </row>
    <row r="1261" spans="1:11" x14ac:dyDescent="0.25">
      <c r="A1261" s="1">
        <v>1482653</v>
      </c>
      <c r="B1261" s="1" t="s">
        <v>1274</v>
      </c>
      <c r="D1261" s="2">
        <v>0</v>
      </c>
      <c r="E1261" s="2" t="s">
        <v>1901</v>
      </c>
      <c r="G1261" s="1" t="s">
        <v>1968</v>
      </c>
      <c r="H1261" s="2">
        <v>750</v>
      </c>
      <c r="J1261" s="15">
        <v>2.61</v>
      </c>
      <c r="K1261" s="40">
        <v>0</v>
      </c>
    </row>
    <row r="1262" spans="1:11" x14ac:dyDescent="0.25">
      <c r="A1262" s="1">
        <v>1494688</v>
      </c>
      <c r="B1262" s="1" t="s">
        <v>1275</v>
      </c>
      <c r="D1262" s="2">
        <v>0</v>
      </c>
      <c r="E1262" s="2" t="s">
        <v>0</v>
      </c>
      <c r="G1262" s="1" t="s">
        <v>1968</v>
      </c>
      <c r="H1262" s="2">
        <v>1</v>
      </c>
      <c r="J1262" s="15">
        <v>1.94</v>
      </c>
      <c r="K1262" s="40">
        <v>0</v>
      </c>
    </row>
    <row r="1263" spans="1:11" x14ac:dyDescent="0.25">
      <c r="A1263" s="1">
        <v>1494689</v>
      </c>
      <c r="B1263" s="1" t="s">
        <v>1276</v>
      </c>
      <c r="D1263" s="2">
        <v>0</v>
      </c>
      <c r="E1263" s="2" t="s">
        <v>0</v>
      </c>
      <c r="G1263" s="1" t="s">
        <v>1968</v>
      </c>
      <c r="H1263" s="2">
        <v>1</v>
      </c>
      <c r="J1263" s="15">
        <v>1.94</v>
      </c>
      <c r="K1263" s="40">
        <v>0</v>
      </c>
    </row>
    <row r="1264" spans="1:11" x14ac:dyDescent="0.25">
      <c r="A1264" s="1">
        <v>1515733</v>
      </c>
      <c r="B1264" s="1" t="s">
        <v>1277</v>
      </c>
      <c r="D1264" s="2">
        <v>0</v>
      </c>
      <c r="E1264" s="2" t="s">
        <v>0</v>
      </c>
      <c r="G1264" s="1" t="s">
        <v>1968</v>
      </c>
      <c r="H1264" s="2">
        <v>1</v>
      </c>
      <c r="J1264" s="15">
        <v>94.89</v>
      </c>
      <c r="K1264" s="40">
        <v>0</v>
      </c>
    </row>
    <row r="1265" spans="1:11" x14ac:dyDescent="0.25">
      <c r="A1265" s="1">
        <v>1532876</v>
      </c>
      <c r="B1265" s="1" t="s">
        <v>1278</v>
      </c>
      <c r="D1265" s="2">
        <v>0</v>
      </c>
      <c r="E1265" s="2" t="s">
        <v>0</v>
      </c>
      <c r="G1265" s="1" t="s">
        <v>1968</v>
      </c>
      <c r="H1265" s="2">
        <v>1</v>
      </c>
      <c r="J1265" s="15">
        <v>1126.97</v>
      </c>
      <c r="K1265" s="40">
        <v>0</v>
      </c>
    </row>
    <row r="1266" spans="1:11" x14ac:dyDescent="0.25">
      <c r="A1266" s="1">
        <v>1532878</v>
      </c>
      <c r="B1266" s="1" t="s">
        <v>1279</v>
      </c>
      <c r="D1266" s="2">
        <v>0</v>
      </c>
      <c r="E1266" s="2" t="s">
        <v>0</v>
      </c>
      <c r="G1266" s="1" t="s">
        <v>1968</v>
      </c>
      <c r="H1266" s="2">
        <v>1</v>
      </c>
      <c r="J1266" s="15">
        <v>2242.5300000000002</v>
      </c>
      <c r="K1266" s="40">
        <v>0</v>
      </c>
    </row>
    <row r="1267" spans="1:11" x14ac:dyDescent="0.25">
      <c r="A1267" s="1">
        <v>1532880</v>
      </c>
      <c r="B1267" s="1" t="s">
        <v>1280</v>
      </c>
      <c r="D1267" s="2">
        <v>0</v>
      </c>
      <c r="E1267" s="2" t="s">
        <v>0</v>
      </c>
      <c r="G1267" s="1" t="s">
        <v>1968</v>
      </c>
      <c r="H1267" s="2">
        <v>1</v>
      </c>
      <c r="J1267" s="15">
        <v>2813.63</v>
      </c>
      <c r="K1267" s="40">
        <v>0</v>
      </c>
    </row>
    <row r="1268" spans="1:11" x14ac:dyDescent="0.25">
      <c r="A1268" s="1">
        <v>1532882</v>
      </c>
      <c r="B1268" s="1" t="s">
        <v>1281</v>
      </c>
      <c r="D1268" s="2">
        <v>0</v>
      </c>
      <c r="E1268" s="2" t="s">
        <v>0</v>
      </c>
      <c r="G1268" s="1" t="s">
        <v>1968</v>
      </c>
      <c r="H1268" s="2">
        <v>1</v>
      </c>
      <c r="J1268" s="15">
        <v>2432.89</v>
      </c>
      <c r="K1268" s="40">
        <v>0</v>
      </c>
    </row>
    <row r="1269" spans="1:11" x14ac:dyDescent="0.25">
      <c r="A1269" s="1">
        <v>1532950</v>
      </c>
      <c r="B1269" s="1" t="s">
        <v>1282</v>
      </c>
      <c r="D1269" s="2">
        <v>0</v>
      </c>
      <c r="E1269" s="2" t="s">
        <v>0</v>
      </c>
      <c r="G1269" s="1" t="s">
        <v>1969</v>
      </c>
      <c r="H1269" s="2">
        <v>1</v>
      </c>
      <c r="I1269" s="2">
        <v>7</v>
      </c>
      <c r="J1269" s="15">
        <v>1.5</v>
      </c>
      <c r="K1269" s="40">
        <v>0</v>
      </c>
    </row>
    <row r="1270" spans="1:11" x14ac:dyDescent="0.25">
      <c r="A1270" s="1">
        <v>1540443</v>
      </c>
      <c r="B1270" s="1" t="s">
        <v>1283</v>
      </c>
      <c r="D1270" s="2">
        <v>0</v>
      </c>
      <c r="E1270" s="2" t="s">
        <v>0</v>
      </c>
      <c r="G1270" s="1" t="s">
        <v>1969</v>
      </c>
      <c r="H1270" s="2">
        <v>1</v>
      </c>
      <c r="I1270" s="2">
        <v>63</v>
      </c>
      <c r="J1270" s="15">
        <v>1067.31</v>
      </c>
      <c r="K1270" s="40">
        <v>0</v>
      </c>
    </row>
    <row r="1271" spans="1:11" x14ac:dyDescent="0.25">
      <c r="A1271" s="1">
        <v>1540507</v>
      </c>
      <c r="B1271" s="1" t="s">
        <v>1284</v>
      </c>
      <c r="D1271" s="2">
        <v>0</v>
      </c>
      <c r="E1271" s="2" t="s">
        <v>0</v>
      </c>
      <c r="G1271" s="1" t="s">
        <v>1969</v>
      </c>
      <c r="H1271" s="2">
        <v>1</v>
      </c>
      <c r="I1271" s="2">
        <v>28</v>
      </c>
      <c r="J1271" s="15">
        <v>12.56</v>
      </c>
      <c r="K1271" s="40">
        <v>0</v>
      </c>
    </row>
    <row r="1272" spans="1:11" x14ac:dyDescent="0.25">
      <c r="A1272" s="1">
        <v>1540508</v>
      </c>
      <c r="B1272" s="1" t="s">
        <v>1285</v>
      </c>
      <c r="D1272" s="2">
        <v>0</v>
      </c>
      <c r="E1272" s="2" t="s">
        <v>0</v>
      </c>
      <c r="G1272" s="1" t="s">
        <v>1969</v>
      </c>
      <c r="H1272" s="2">
        <v>1</v>
      </c>
      <c r="I1272" s="2">
        <v>28</v>
      </c>
      <c r="J1272" s="15">
        <v>12.85</v>
      </c>
      <c r="K1272" s="40">
        <v>0</v>
      </c>
    </row>
    <row r="1273" spans="1:11" x14ac:dyDescent="0.25">
      <c r="A1273" s="1">
        <v>1542222</v>
      </c>
      <c r="B1273" s="1" t="s">
        <v>1286</v>
      </c>
      <c r="D1273" s="2">
        <v>0</v>
      </c>
      <c r="E1273" s="2" t="s">
        <v>0</v>
      </c>
      <c r="G1273" s="1" t="s">
        <v>1969</v>
      </c>
      <c r="H1273" s="2">
        <v>1</v>
      </c>
      <c r="I1273" s="2">
        <v>35</v>
      </c>
      <c r="K1273" s="40">
        <v>0</v>
      </c>
    </row>
    <row r="1274" spans="1:11" x14ac:dyDescent="0.25">
      <c r="A1274" s="1">
        <v>1545723</v>
      </c>
      <c r="B1274" s="1" t="s">
        <v>1287</v>
      </c>
      <c r="D1274" s="2">
        <v>0</v>
      </c>
      <c r="E1274" s="2" t="s">
        <v>302</v>
      </c>
      <c r="G1274" s="1" t="s">
        <v>786</v>
      </c>
      <c r="H1274" s="2">
        <v>1</v>
      </c>
      <c r="J1274" s="15">
        <v>17.25</v>
      </c>
      <c r="K1274" s="40">
        <v>0</v>
      </c>
    </row>
    <row r="1275" spans="1:11" x14ac:dyDescent="0.25">
      <c r="A1275" s="1">
        <v>1576493</v>
      </c>
      <c r="B1275" s="1" t="s">
        <v>1288</v>
      </c>
      <c r="D1275" s="2">
        <v>0</v>
      </c>
      <c r="E1275" s="2" t="s">
        <v>0</v>
      </c>
      <c r="G1275" s="1" t="s">
        <v>1969</v>
      </c>
      <c r="H1275" s="2">
        <v>1</v>
      </c>
      <c r="I1275" s="2">
        <v>35</v>
      </c>
      <c r="J1275" s="15">
        <v>10.31</v>
      </c>
      <c r="K1275" s="40">
        <v>0</v>
      </c>
    </row>
    <row r="1276" spans="1:11" x14ac:dyDescent="0.25">
      <c r="A1276" s="1">
        <v>1578828</v>
      </c>
      <c r="B1276" s="1" t="s">
        <v>1289</v>
      </c>
      <c r="D1276" s="2">
        <v>0</v>
      </c>
      <c r="E1276" s="2" t="s">
        <v>0</v>
      </c>
      <c r="G1276" s="1" t="s">
        <v>1968</v>
      </c>
      <c r="H1276" s="2">
        <v>1</v>
      </c>
      <c r="J1276" s="15">
        <v>55.89</v>
      </c>
      <c r="K1276" s="40">
        <v>0</v>
      </c>
    </row>
    <row r="1277" spans="1:11" x14ac:dyDescent="0.25">
      <c r="A1277" s="1">
        <v>1607676</v>
      </c>
      <c r="B1277" s="1" t="s">
        <v>1290</v>
      </c>
      <c r="D1277" s="2">
        <v>0</v>
      </c>
      <c r="E1277" s="2" t="s">
        <v>0</v>
      </c>
      <c r="G1277" s="1" t="s">
        <v>1968</v>
      </c>
      <c r="H1277" s="2">
        <v>1</v>
      </c>
      <c r="J1277" s="15">
        <v>54.56</v>
      </c>
      <c r="K1277" s="40">
        <v>0</v>
      </c>
    </row>
    <row r="1278" spans="1:11" x14ac:dyDescent="0.25">
      <c r="A1278" s="1">
        <v>1633262</v>
      </c>
      <c r="B1278" s="1" t="s">
        <v>1291</v>
      </c>
      <c r="D1278" s="2">
        <v>0</v>
      </c>
      <c r="E1278" s="2" t="s">
        <v>0</v>
      </c>
      <c r="G1278" s="1" t="s">
        <v>1968</v>
      </c>
      <c r="H1278" s="2">
        <v>1</v>
      </c>
      <c r="J1278" s="15">
        <v>16.78</v>
      </c>
      <c r="K1278" s="40">
        <v>0</v>
      </c>
    </row>
    <row r="1279" spans="1:11" x14ac:dyDescent="0.25">
      <c r="A1279" s="1">
        <v>1636225</v>
      </c>
      <c r="B1279" s="1" t="s">
        <v>1292</v>
      </c>
      <c r="D1279" s="2">
        <v>0</v>
      </c>
      <c r="E1279" s="2" t="s">
        <v>0</v>
      </c>
      <c r="G1279" s="1" t="s">
        <v>1968</v>
      </c>
      <c r="H1279" s="2">
        <v>1</v>
      </c>
      <c r="J1279" s="15">
        <v>1.22</v>
      </c>
      <c r="K1279" s="40">
        <v>0</v>
      </c>
    </row>
    <row r="1280" spans="1:11" x14ac:dyDescent="0.25">
      <c r="A1280" s="1">
        <v>1636226</v>
      </c>
      <c r="B1280" s="1" t="s">
        <v>1293</v>
      </c>
      <c r="D1280" s="2">
        <v>0</v>
      </c>
      <c r="E1280" s="2" t="s">
        <v>1901</v>
      </c>
      <c r="G1280" s="1" t="s">
        <v>1968</v>
      </c>
      <c r="H1280" s="2">
        <v>600</v>
      </c>
      <c r="J1280" s="15">
        <v>0.95</v>
      </c>
      <c r="K1280" s="40">
        <v>0</v>
      </c>
    </row>
    <row r="1281" spans="1:11" x14ac:dyDescent="0.25">
      <c r="A1281" s="1">
        <v>1665251</v>
      </c>
      <c r="B1281" s="1" t="s">
        <v>1294</v>
      </c>
      <c r="D1281" s="2">
        <v>0</v>
      </c>
      <c r="E1281" s="2" t="s">
        <v>0</v>
      </c>
      <c r="G1281" s="1" t="s">
        <v>1968</v>
      </c>
      <c r="H1281" s="2">
        <v>1</v>
      </c>
      <c r="J1281" s="15">
        <v>53.11</v>
      </c>
      <c r="K1281" s="40">
        <v>0</v>
      </c>
    </row>
    <row r="1282" spans="1:11" x14ac:dyDescent="0.25">
      <c r="A1282" s="1">
        <v>1672805</v>
      </c>
      <c r="B1282" s="1" t="s">
        <v>1295</v>
      </c>
      <c r="D1282" s="2">
        <v>0</v>
      </c>
      <c r="E1282" s="2" t="s">
        <v>0</v>
      </c>
      <c r="G1282" s="1" t="s">
        <v>2058</v>
      </c>
      <c r="H1282" s="2">
        <v>1</v>
      </c>
      <c r="I1282" s="2">
        <v>14</v>
      </c>
      <c r="J1282" s="15">
        <v>733.75</v>
      </c>
      <c r="K1282" s="40">
        <v>0</v>
      </c>
    </row>
    <row r="1283" spans="1:11" x14ac:dyDescent="0.25">
      <c r="A1283" s="1">
        <v>1672806</v>
      </c>
      <c r="B1283" s="1" t="s">
        <v>1296</v>
      </c>
      <c r="D1283" s="2">
        <v>0</v>
      </c>
      <c r="E1283" s="2" t="s">
        <v>0</v>
      </c>
      <c r="G1283" s="1" t="s">
        <v>2058</v>
      </c>
      <c r="H1283" s="2">
        <v>1</v>
      </c>
      <c r="I1283" s="2">
        <v>14</v>
      </c>
      <c r="J1283" s="15">
        <v>233.93</v>
      </c>
      <c r="K1283" s="40">
        <v>0</v>
      </c>
    </row>
    <row r="1284" spans="1:11" x14ac:dyDescent="0.25">
      <c r="A1284" s="1">
        <v>1672807</v>
      </c>
      <c r="B1284" s="1" t="s">
        <v>1297</v>
      </c>
      <c r="D1284" s="2">
        <v>0</v>
      </c>
      <c r="E1284" s="2" t="s">
        <v>0</v>
      </c>
      <c r="G1284" s="1" t="s">
        <v>2058</v>
      </c>
      <c r="H1284" s="2">
        <v>1</v>
      </c>
      <c r="I1284" s="2">
        <v>14</v>
      </c>
      <c r="J1284" s="15">
        <v>361.65</v>
      </c>
      <c r="K1284" s="40">
        <v>0</v>
      </c>
    </row>
    <row r="1285" spans="1:11" x14ac:dyDescent="0.25">
      <c r="A1285" s="1">
        <v>1690091</v>
      </c>
      <c r="B1285" s="1" t="s">
        <v>1298</v>
      </c>
      <c r="D1285" s="2">
        <v>0</v>
      </c>
      <c r="E1285" s="2" t="s">
        <v>1901</v>
      </c>
      <c r="G1285" s="1" t="s">
        <v>1968</v>
      </c>
      <c r="H1285" s="2">
        <v>3000</v>
      </c>
      <c r="J1285" s="15">
        <v>0.81</v>
      </c>
      <c r="K1285" s="40">
        <v>0</v>
      </c>
    </row>
    <row r="1286" spans="1:11" x14ac:dyDescent="0.25">
      <c r="A1286" s="1">
        <v>1698555</v>
      </c>
      <c r="B1286" s="1" t="s">
        <v>1299</v>
      </c>
      <c r="D1286" s="2">
        <v>0</v>
      </c>
      <c r="E1286" s="2" t="s">
        <v>0</v>
      </c>
      <c r="G1286" s="1" t="s">
        <v>1968</v>
      </c>
      <c r="H1286" s="2">
        <v>1</v>
      </c>
      <c r="J1286" s="15">
        <v>185.66</v>
      </c>
      <c r="K1286" s="40">
        <v>0</v>
      </c>
    </row>
    <row r="1287" spans="1:11" x14ac:dyDescent="0.25">
      <c r="A1287" s="1">
        <v>1727913</v>
      </c>
      <c r="B1287" s="1" t="s">
        <v>1300</v>
      </c>
      <c r="D1287" s="2">
        <v>0</v>
      </c>
      <c r="E1287" s="2" t="s">
        <v>0</v>
      </c>
      <c r="G1287" s="1" t="s">
        <v>1969</v>
      </c>
      <c r="H1287" s="2">
        <v>1</v>
      </c>
      <c r="I1287" s="2">
        <v>21</v>
      </c>
      <c r="J1287" s="15">
        <v>1045.5999999999999</v>
      </c>
      <c r="K1287" s="40">
        <v>0</v>
      </c>
    </row>
    <row r="1288" spans="1:11" x14ac:dyDescent="0.25">
      <c r="A1288" s="1">
        <v>1743791</v>
      </c>
      <c r="B1288" s="1" t="s">
        <v>1301</v>
      </c>
      <c r="D1288" s="2">
        <v>0</v>
      </c>
      <c r="E1288" s="2" t="s">
        <v>0</v>
      </c>
      <c r="G1288" s="1" t="s">
        <v>1968</v>
      </c>
      <c r="H1288" s="2">
        <v>1</v>
      </c>
      <c r="J1288" s="15">
        <v>185.66</v>
      </c>
      <c r="K1288" s="40">
        <v>0</v>
      </c>
    </row>
    <row r="1289" spans="1:11" x14ac:dyDescent="0.25">
      <c r="A1289" s="1">
        <v>1749390</v>
      </c>
      <c r="B1289" s="1" t="s">
        <v>1302</v>
      </c>
      <c r="D1289" s="2">
        <v>0</v>
      </c>
      <c r="E1289" s="2" t="s">
        <v>0</v>
      </c>
      <c r="G1289" s="1" t="s">
        <v>786</v>
      </c>
      <c r="H1289" s="2">
        <v>1</v>
      </c>
      <c r="I1289" s="2">
        <v>7</v>
      </c>
      <c r="J1289" s="15">
        <v>36.56</v>
      </c>
      <c r="K1289" s="40">
        <v>0</v>
      </c>
    </row>
    <row r="1290" spans="1:11" x14ac:dyDescent="0.25">
      <c r="A1290" s="1">
        <v>1749391</v>
      </c>
      <c r="B1290" s="1" t="s">
        <v>1303</v>
      </c>
      <c r="D1290" s="2">
        <v>0</v>
      </c>
      <c r="E1290" s="2" t="s">
        <v>0</v>
      </c>
      <c r="G1290" s="1" t="s">
        <v>786</v>
      </c>
      <c r="H1290" s="2">
        <v>1</v>
      </c>
      <c r="J1290" s="15">
        <v>36.56</v>
      </c>
      <c r="K1290" s="40">
        <v>0</v>
      </c>
    </row>
    <row r="1291" spans="1:11" x14ac:dyDescent="0.25">
      <c r="A1291" s="1">
        <v>1749392</v>
      </c>
      <c r="B1291" s="1" t="s">
        <v>1304</v>
      </c>
      <c r="D1291" s="2">
        <v>0</v>
      </c>
      <c r="E1291" s="2" t="s">
        <v>0</v>
      </c>
      <c r="G1291" s="1" t="s">
        <v>786</v>
      </c>
      <c r="H1291" s="2">
        <v>1</v>
      </c>
      <c r="I1291" s="2">
        <v>7</v>
      </c>
      <c r="J1291" s="15">
        <v>36.56</v>
      </c>
      <c r="K1291" s="40">
        <v>0</v>
      </c>
    </row>
    <row r="1292" spans="1:11" x14ac:dyDescent="0.25">
      <c r="A1292" s="1">
        <v>1780419</v>
      </c>
      <c r="B1292" s="1" t="s">
        <v>1305</v>
      </c>
      <c r="D1292" s="2">
        <v>0</v>
      </c>
      <c r="E1292" s="2" t="s">
        <v>0</v>
      </c>
      <c r="G1292" s="1" t="s">
        <v>1968</v>
      </c>
      <c r="H1292" s="2">
        <v>1</v>
      </c>
      <c r="J1292" s="15">
        <v>47.34</v>
      </c>
      <c r="K1292" s="40">
        <v>0</v>
      </c>
    </row>
    <row r="1293" spans="1:11" x14ac:dyDescent="0.25">
      <c r="A1293" s="1">
        <v>1782609</v>
      </c>
      <c r="B1293" s="1" t="s">
        <v>1306</v>
      </c>
      <c r="D1293" s="2">
        <v>0</v>
      </c>
      <c r="E1293" s="2" t="s">
        <v>1901</v>
      </c>
      <c r="G1293" s="1" t="s">
        <v>1968</v>
      </c>
      <c r="H1293" s="2">
        <v>400</v>
      </c>
      <c r="J1293" s="15">
        <v>12.08</v>
      </c>
      <c r="K1293" s="40">
        <v>0</v>
      </c>
    </row>
    <row r="1294" spans="1:11" x14ac:dyDescent="0.25">
      <c r="A1294" s="1">
        <v>1785789</v>
      </c>
      <c r="B1294" s="1" t="s">
        <v>1307</v>
      </c>
      <c r="D1294" s="2">
        <v>0</v>
      </c>
      <c r="E1294" s="2" t="s">
        <v>131</v>
      </c>
      <c r="G1294" s="1" t="s">
        <v>1968</v>
      </c>
      <c r="H1294" s="2">
        <v>1</v>
      </c>
      <c r="J1294" s="15">
        <v>795.83</v>
      </c>
      <c r="K1294" s="40">
        <v>0</v>
      </c>
    </row>
    <row r="1295" spans="1:11" x14ac:dyDescent="0.25">
      <c r="A1295" s="1">
        <v>1785790</v>
      </c>
      <c r="B1295" s="1" t="s">
        <v>1308</v>
      </c>
      <c r="D1295" s="2">
        <v>0</v>
      </c>
      <c r="E1295" s="2" t="s">
        <v>131</v>
      </c>
      <c r="G1295" s="1" t="s">
        <v>1968</v>
      </c>
      <c r="H1295" s="2">
        <v>1</v>
      </c>
      <c r="J1295" s="15">
        <v>454.52</v>
      </c>
      <c r="K1295" s="40">
        <v>0</v>
      </c>
    </row>
    <row r="1296" spans="1:11" x14ac:dyDescent="0.25">
      <c r="A1296" s="1">
        <v>1785791</v>
      </c>
      <c r="B1296" s="1" t="s">
        <v>1309</v>
      </c>
      <c r="D1296" s="2">
        <v>0</v>
      </c>
      <c r="E1296" s="2" t="s">
        <v>131</v>
      </c>
      <c r="G1296" s="1" t="s">
        <v>786</v>
      </c>
      <c r="H1296" s="2">
        <v>1</v>
      </c>
      <c r="J1296" s="15">
        <v>4.6100000000000003</v>
      </c>
      <c r="K1296" s="40">
        <v>0</v>
      </c>
    </row>
    <row r="1297" spans="1:11" x14ac:dyDescent="0.25">
      <c r="A1297" s="1">
        <v>1785792</v>
      </c>
      <c r="B1297" s="1" t="s">
        <v>1310</v>
      </c>
      <c r="D1297" s="2">
        <v>0</v>
      </c>
      <c r="E1297" s="2" t="s">
        <v>131</v>
      </c>
      <c r="G1297" s="1" t="s">
        <v>1969</v>
      </c>
      <c r="H1297" s="2">
        <v>1</v>
      </c>
      <c r="I1297" s="2">
        <v>56</v>
      </c>
      <c r="J1297" s="15">
        <v>591.38</v>
      </c>
      <c r="K1297" s="40">
        <v>0</v>
      </c>
    </row>
    <row r="1298" spans="1:11" x14ac:dyDescent="0.25">
      <c r="A1298" s="1">
        <v>1792179</v>
      </c>
      <c r="B1298" s="1" t="s">
        <v>1311</v>
      </c>
      <c r="D1298" s="2">
        <v>0</v>
      </c>
      <c r="E1298" s="2" t="s">
        <v>0</v>
      </c>
      <c r="G1298" s="1" t="s">
        <v>1968</v>
      </c>
      <c r="H1298" s="2">
        <v>1</v>
      </c>
      <c r="J1298" s="15">
        <v>17.25</v>
      </c>
      <c r="K1298" s="40">
        <v>0</v>
      </c>
    </row>
    <row r="1299" spans="1:11" x14ac:dyDescent="0.25">
      <c r="A1299" s="1">
        <v>1793495</v>
      </c>
      <c r="B1299" s="1" t="s">
        <v>1312</v>
      </c>
      <c r="D1299" s="2">
        <v>0</v>
      </c>
      <c r="E1299" s="2" t="s">
        <v>131</v>
      </c>
      <c r="G1299" s="1" t="s">
        <v>1969</v>
      </c>
      <c r="H1299" s="2">
        <v>120</v>
      </c>
      <c r="I1299" s="2">
        <v>56</v>
      </c>
      <c r="J1299" s="15">
        <v>358.21</v>
      </c>
      <c r="K1299" s="40">
        <v>0</v>
      </c>
    </row>
    <row r="1300" spans="1:11" x14ac:dyDescent="0.25">
      <c r="A1300" s="1">
        <v>1795188</v>
      </c>
      <c r="B1300" s="1" t="s">
        <v>1313</v>
      </c>
      <c r="D1300" s="2">
        <v>0</v>
      </c>
      <c r="E1300" s="2" t="s">
        <v>0</v>
      </c>
      <c r="G1300" s="1" t="s">
        <v>1968</v>
      </c>
      <c r="H1300" s="2">
        <v>1</v>
      </c>
      <c r="J1300" s="15">
        <v>208.14</v>
      </c>
      <c r="K1300" s="40">
        <v>0</v>
      </c>
    </row>
    <row r="1301" spans="1:11" x14ac:dyDescent="0.25">
      <c r="A1301" s="1">
        <v>1840227</v>
      </c>
      <c r="B1301" s="1" t="s">
        <v>1314</v>
      </c>
      <c r="D1301" s="2">
        <v>0</v>
      </c>
      <c r="E1301" s="2" t="s">
        <v>1901</v>
      </c>
      <c r="G1301" s="1" t="s">
        <v>1968</v>
      </c>
      <c r="H1301" s="2">
        <v>1</v>
      </c>
      <c r="J1301" s="15">
        <v>1.37</v>
      </c>
      <c r="K1301" s="40">
        <v>0</v>
      </c>
    </row>
    <row r="1302" spans="1:11" x14ac:dyDescent="0.25">
      <c r="A1302" s="1">
        <v>1840228</v>
      </c>
      <c r="B1302" s="1" t="s">
        <v>1315</v>
      </c>
      <c r="D1302" s="2">
        <v>0</v>
      </c>
      <c r="E1302" s="2" t="s">
        <v>1901</v>
      </c>
      <c r="G1302" s="1" t="s">
        <v>1968</v>
      </c>
      <c r="H1302" s="2">
        <v>1</v>
      </c>
      <c r="J1302" s="15">
        <v>1.77</v>
      </c>
      <c r="K1302" s="40">
        <v>0</v>
      </c>
    </row>
    <row r="1303" spans="1:11" x14ac:dyDescent="0.25">
      <c r="A1303" s="1">
        <v>1840229</v>
      </c>
      <c r="B1303" s="1" t="s">
        <v>1316</v>
      </c>
      <c r="D1303" s="2">
        <v>0</v>
      </c>
      <c r="E1303" s="2" t="s">
        <v>1901</v>
      </c>
      <c r="G1303" s="1" t="s">
        <v>1968</v>
      </c>
      <c r="H1303" s="2">
        <v>1</v>
      </c>
      <c r="J1303" s="15">
        <v>2.4900000000000002</v>
      </c>
      <c r="K1303" s="40">
        <v>0</v>
      </c>
    </row>
    <row r="1304" spans="1:11" x14ac:dyDescent="0.25">
      <c r="A1304" s="1">
        <v>1840230</v>
      </c>
      <c r="B1304" s="1" t="s">
        <v>1317</v>
      </c>
      <c r="D1304" s="2">
        <v>0</v>
      </c>
      <c r="E1304" s="2" t="s">
        <v>1901</v>
      </c>
      <c r="G1304" s="1" t="s">
        <v>1968</v>
      </c>
      <c r="H1304" s="2">
        <v>1</v>
      </c>
      <c r="J1304" s="15">
        <v>3.15</v>
      </c>
      <c r="K1304" s="40">
        <v>0</v>
      </c>
    </row>
    <row r="1305" spans="1:11" x14ac:dyDescent="0.25">
      <c r="A1305" s="1">
        <v>1840231</v>
      </c>
      <c r="B1305" s="1" t="s">
        <v>1318</v>
      </c>
      <c r="D1305" s="2">
        <v>0</v>
      </c>
      <c r="E1305" s="2" t="s">
        <v>1901</v>
      </c>
      <c r="G1305" s="1" t="s">
        <v>1968</v>
      </c>
      <c r="H1305" s="2">
        <v>1</v>
      </c>
      <c r="J1305" s="15">
        <v>4.01</v>
      </c>
      <c r="K1305" s="40">
        <v>0</v>
      </c>
    </row>
    <row r="1306" spans="1:11" x14ac:dyDescent="0.25">
      <c r="A1306" s="1">
        <v>1853910</v>
      </c>
      <c r="B1306" s="1" t="s">
        <v>1319</v>
      </c>
      <c r="D1306" s="2">
        <v>0</v>
      </c>
      <c r="E1306" s="2" t="s">
        <v>0</v>
      </c>
      <c r="G1306" s="1" t="s">
        <v>1969</v>
      </c>
      <c r="H1306" s="2">
        <v>1</v>
      </c>
      <c r="I1306" s="2">
        <v>28</v>
      </c>
      <c r="J1306" s="15">
        <v>3819.88</v>
      </c>
      <c r="K1306" s="40">
        <v>0</v>
      </c>
    </row>
    <row r="1307" spans="1:11" x14ac:dyDescent="0.25">
      <c r="A1307" s="1">
        <v>1853912</v>
      </c>
      <c r="B1307" s="1" t="s">
        <v>1320</v>
      </c>
      <c r="D1307" s="2">
        <v>0</v>
      </c>
      <c r="E1307" s="2" t="s">
        <v>0</v>
      </c>
      <c r="G1307" s="1" t="s">
        <v>1969</v>
      </c>
      <c r="H1307" s="2">
        <v>1</v>
      </c>
      <c r="I1307" s="2">
        <v>28</v>
      </c>
      <c r="J1307" s="15">
        <v>176.73</v>
      </c>
      <c r="K1307" s="40">
        <v>0</v>
      </c>
    </row>
    <row r="1308" spans="1:11" x14ac:dyDescent="0.25">
      <c r="A1308" s="1">
        <v>1853913</v>
      </c>
      <c r="B1308" s="1" t="s">
        <v>1321</v>
      </c>
      <c r="D1308" s="2">
        <v>0</v>
      </c>
      <c r="E1308" s="2" t="s">
        <v>0</v>
      </c>
      <c r="G1308" s="1" t="s">
        <v>786</v>
      </c>
      <c r="H1308" s="2">
        <v>1</v>
      </c>
      <c r="I1308" s="2">
        <v>28</v>
      </c>
      <c r="J1308" s="15">
        <v>30.37</v>
      </c>
      <c r="K1308" s="40">
        <v>0</v>
      </c>
    </row>
    <row r="1309" spans="1:11" x14ac:dyDescent="0.25">
      <c r="A1309" s="1">
        <v>1853914</v>
      </c>
      <c r="B1309" s="1" t="s">
        <v>1322</v>
      </c>
      <c r="D1309" s="2">
        <v>0</v>
      </c>
      <c r="E1309" s="2" t="s">
        <v>0</v>
      </c>
      <c r="G1309" s="1" t="s">
        <v>1969</v>
      </c>
      <c r="H1309" s="2">
        <v>20</v>
      </c>
      <c r="I1309" s="2">
        <v>28</v>
      </c>
      <c r="J1309" s="15">
        <v>14.52</v>
      </c>
      <c r="K1309" s="40">
        <v>0</v>
      </c>
    </row>
    <row r="1310" spans="1:11" x14ac:dyDescent="0.25">
      <c r="A1310" s="1">
        <v>1858972</v>
      </c>
      <c r="B1310" s="1" t="s">
        <v>1323</v>
      </c>
      <c r="D1310" s="2">
        <v>0</v>
      </c>
      <c r="E1310" s="2" t="s">
        <v>1901</v>
      </c>
      <c r="G1310" s="1" t="s">
        <v>1968</v>
      </c>
      <c r="H1310" s="2">
        <v>1</v>
      </c>
      <c r="J1310" s="15">
        <v>4.9800000000000004</v>
      </c>
      <c r="K1310" s="40">
        <v>0</v>
      </c>
    </row>
    <row r="1311" spans="1:11" x14ac:dyDescent="0.25">
      <c r="A1311" s="1">
        <v>1859052</v>
      </c>
      <c r="B1311" s="1" t="s">
        <v>1324</v>
      </c>
      <c r="D1311" s="2">
        <v>0</v>
      </c>
      <c r="E1311" s="2" t="s">
        <v>0</v>
      </c>
      <c r="G1311" s="1" t="s">
        <v>1968</v>
      </c>
      <c r="H1311" s="2">
        <v>1</v>
      </c>
      <c r="J1311" s="15">
        <v>13.92</v>
      </c>
      <c r="K1311" s="40">
        <v>0</v>
      </c>
    </row>
    <row r="1312" spans="1:11" x14ac:dyDescent="0.25">
      <c r="A1312" s="1">
        <v>1859054</v>
      </c>
      <c r="B1312" s="1" t="s">
        <v>1325</v>
      </c>
      <c r="D1312" s="2">
        <v>0</v>
      </c>
      <c r="E1312" s="2" t="s">
        <v>0</v>
      </c>
      <c r="G1312" s="1" t="s">
        <v>1968</v>
      </c>
      <c r="H1312" s="2">
        <v>1</v>
      </c>
      <c r="J1312" s="15">
        <v>14.42</v>
      </c>
      <c r="K1312" s="40">
        <v>0</v>
      </c>
    </row>
    <row r="1313" spans="1:11" x14ac:dyDescent="0.25">
      <c r="A1313" s="1">
        <v>1859055</v>
      </c>
      <c r="B1313" s="1" t="s">
        <v>1326</v>
      </c>
      <c r="D1313" s="2">
        <v>0</v>
      </c>
      <c r="E1313" s="2" t="s">
        <v>0</v>
      </c>
      <c r="G1313" s="1" t="s">
        <v>1968</v>
      </c>
      <c r="H1313" s="2">
        <v>1</v>
      </c>
      <c r="J1313" s="15">
        <v>14.69</v>
      </c>
      <c r="K1313" s="40">
        <v>0</v>
      </c>
    </row>
    <row r="1314" spans="1:11" x14ac:dyDescent="0.25">
      <c r="A1314" s="1">
        <v>1859056</v>
      </c>
      <c r="B1314" s="1" t="s">
        <v>1327</v>
      </c>
      <c r="D1314" s="2">
        <v>0</v>
      </c>
      <c r="E1314" s="2" t="s">
        <v>0</v>
      </c>
      <c r="G1314" s="1" t="s">
        <v>1968</v>
      </c>
      <c r="H1314" s="2">
        <v>1</v>
      </c>
      <c r="J1314" s="15">
        <v>15.2</v>
      </c>
      <c r="K1314" s="40">
        <v>0</v>
      </c>
    </row>
    <row r="1315" spans="1:11" x14ac:dyDescent="0.25">
      <c r="A1315" s="1">
        <v>1859057</v>
      </c>
      <c r="B1315" s="1" t="s">
        <v>1328</v>
      </c>
      <c r="D1315" s="2">
        <v>0</v>
      </c>
      <c r="E1315" s="2" t="s">
        <v>0</v>
      </c>
      <c r="G1315" s="1" t="s">
        <v>1968</v>
      </c>
      <c r="H1315" s="2">
        <v>1</v>
      </c>
      <c r="J1315" s="15">
        <v>15.7</v>
      </c>
      <c r="K1315" s="40">
        <v>0</v>
      </c>
    </row>
    <row r="1316" spans="1:11" x14ac:dyDescent="0.25">
      <c r="A1316" s="1">
        <v>1874122</v>
      </c>
      <c r="B1316" s="1" t="s">
        <v>1329</v>
      </c>
      <c r="D1316" s="2">
        <v>0</v>
      </c>
      <c r="E1316" s="2" t="s">
        <v>0</v>
      </c>
      <c r="G1316" s="1" t="s">
        <v>1969</v>
      </c>
      <c r="H1316" s="2">
        <v>1</v>
      </c>
      <c r="I1316" s="2">
        <v>21</v>
      </c>
      <c r="J1316" s="15">
        <v>10.57</v>
      </c>
      <c r="K1316" s="40">
        <v>0</v>
      </c>
    </row>
    <row r="1317" spans="1:11" x14ac:dyDescent="0.25">
      <c r="A1317" s="1">
        <v>1874127</v>
      </c>
      <c r="B1317" s="1" t="s">
        <v>1330</v>
      </c>
      <c r="D1317" s="2">
        <v>0</v>
      </c>
      <c r="E1317" s="2" t="s">
        <v>0</v>
      </c>
      <c r="G1317" s="1" t="s">
        <v>1968</v>
      </c>
      <c r="H1317" s="2">
        <v>1</v>
      </c>
      <c r="J1317" s="15">
        <v>14.69</v>
      </c>
      <c r="K1317" s="40">
        <v>0</v>
      </c>
    </row>
    <row r="1318" spans="1:11" x14ac:dyDescent="0.25">
      <c r="A1318" s="1">
        <v>1874167</v>
      </c>
      <c r="B1318" s="1" t="s">
        <v>1331</v>
      </c>
      <c r="D1318" s="2">
        <v>0</v>
      </c>
      <c r="E1318" s="2" t="s">
        <v>0</v>
      </c>
      <c r="G1318" s="1" t="s">
        <v>1968</v>
      </c>
      <c r="H1318" s="2">
        <v>1</v>
      </c>
      <c r="J1318" s="15">
        <v>15.58</v>
      </c>
      <c r="K1318" s="40">
        <v>0</v>
      </c>
    </row>
    <row r="1319" spans="1:11" x14ac:dyDescent="0.25">
      <c r="A1319" s="1">
        <v>1874206</v>
      </c>
      <c r="B1319" s="1" t="s">
        <v>1332</v>
      </c>
      <c r="D1319" s="2">
        <v>0</v>
      </c>
      <c r="E1319" s="2" t="s">
        <v>0</v>
      </c>
      <c r="G1319" s="1" t="s">
        <v>1968</v>
      </c>
      <c r="H1319" s="2">
        <v>1</v>
      </c>
      <c r="J1319" s="15">
        <v>13.66</v>
      </c>
      <c r="K1319" s="40">
        <v>0</v>
      </c>
    </row>
    <row r="1320" spans="1:11" x14ac:dyDescent="0.25">
      <c r="A1320" s="1">
        <v>1874208</v>
      </c>
      <c r="B1320" s="1" t="s">
        <v>1333</v>
      </c>
      <c r="D1320" s="2">
        <v>0</v>
      </c>
      <c r="E1320" s="2" t="s">
        <v>0</v>
      </c>
      <c r="G1320" s="1" t="s">
        <v>1968</v>
      </c>
      <c r="H1320" s="2">
        <v>1</v>
      </c>
      <c r="J1320" s="15">
        <v>14.17</v>
      </c>
      <c r="K1320" s="40">
        <v>0</v>
      </c>
    </row>
    <row r="1321" spans="1:11" x14ac:dyDescent="0.25">
      <c r="A1321" s="1">
        <v>1874209</v>
      </c>
      <c r="B1321" s="1" t="s">
        <v>1334</v>
      </c>
      <c r="D1321" s="2">
        <v>0</v>
      </c>
      <c r="E1321" s="2" t="s">
        <v>0</v>
      </c>
      <c r="G1321" s="1" t="s">
        <v>1968</v>
      </c>
      <c r="H1321" s="2">
        <v>1</v>
      </c>
      <c r="J1321" s="15">
        <v>15.01</v>
      </c>
      <c r="K1321" s="40">
        <v>0</v>
      </c>
    </row>
    <row r="1322" spans="1:11" x14ac:dyDescent="0.25">
      <c r="A1322" s="1">
        <v>1874210</v>
      </c>
      <c r="B1322" s="1" t="s">
        <v>1335</v>
      </c>
      <c r="D1322" s="2">
        <v>0</v>
      </c>
      <c r="E1322" s="2" t="s">
        <v>0</v>
      </c>
      <c r="G1322" s="1" t="s">
        <v>1968</v>
      </c>
      <c r="H1322" s="2">
        <v>1</v>
      </c>
      <c r="J1322" s="15">
        <v>14.69</v>
      </c>
      <c r="K1322" s="40">
        <v>0</v>
      </c>
    </row>
    <row r="1323" spans="1:11" x14ac:dyDescent="0.25">
      <c r="A1323" s="1">
        <v>1874211</v>
      </c>
      <c r="B1323" s="1" t="s">
        <v>1336</v>
      </c>
      <c r="D1323" s="2">
        <v>0</v>
      </c>
      <c r="E1323" s="2" t="s">
        <v>0</v>
      </c>
      <c r="G1323" s="1" t="s">
        <v>1968</v>
      </c>
      <c r="H1323" s="2">
        <v>1</v>
      </c>
      <c r="J1323" s="15">
        <v>14.94</v>
      </c>
      <c r="K1323" s="40">
        <v>0</v>
      </c>
    </row>
    <row r="1324" spans="1:11" x14ac:dyDescent="0.25">
      <c r="A1324" s="1">
        <v>1874212</v>
      </c>
      <c r="B1324" s="1" t="s">
        <v>1337</v>
      </c>
      <c r="D1324" s="2">
        <v>0</v>
      </c>
      <c r="E1324" s="2" t="s">
        <v>0</v>
      </c>
      <c r="G1324" s="1" t="s">
        <v>1968</v>
      </c>
      <c r="H1324" s="2">
        <v>1</v>
      </c>
      <c r="J1324" s="15">
        <v>15.45</v>
      </c>
      <c r="K1324" s="40">
        <v>0</v>
      </c>
    </row>
    <row r="1325" spans="1:11" x14ac:dyDescent="0.25">
      <c r="A1325" s="1">
        <v>1874213</v>
      </c>
      <c r="B1325" s="1" t="s">
        <v>1338</v>
      </c>
      <c r="D1325" s="2">
        <v>0</v>
      </c>
      <c r="E1325" s="2" t="s">
        <v>0</v>
      </c>
      <c r="G1325" s="1" t="s">
        <v>1968</v>
      </c>
      <c r="H1325" s="2">
        <v>1</v>
      </c>
      <c r="J1325" s="15">
        <v>16.23</v>
      </c>
      <c r="K1325" s="40">
        <v>0</v>
      </c>
    </row>
    <row r="1326" spans="1:11" x14ac:dyDescent="0.25">
      <c r="A1326" s="1">
        <v>1874214</v>
      </c>
      <c r="B1326" s="1" t="s">
        <v>1339</v>
      </c>
      <c r="D1326" s="2">
        <v>0</v>
      </c>
      <c r="E1326" s="2" t="s">
        <v>0</v>
      </c>
      <c r="G1326" s="1" t="s">
        <v>1968</v>
      </c>
      <c r="H1326" s="2">
        <v>1</v>
      </c>
      <c r="J1326" s="15">
        <v>17.510000000000002</v>
      </c>
      <c r="K1326" s="40">
        <v>0</v>
      </c>
    </row>
    <row r="1327" spans="1:11" x14ac:dyDescent="0.25">
      <c r="A1327" s="1">
        <v>1876176</v>
      </c>
      <c r="B1327" s="1" t="s">
        <v>1340</v>
      </c>
      <c r="D1327" s="2">
        <v>0</v>
      </c>
      <c r="E1327" s="2" t="s">
        <v>0</v>
      </c>
      <c r="G1327" s="1" t="s">
        <v>786</v>
      </c>
      <c r="H1327" s="2">
        <v>1</v>
      </c>
      <c r="I1327" s="2">
        <v>14</v>
      </c>
      <c r="J1327" s="15">
        <v>34.29</v>
      </c>
      <c r="K1327" s="40">
        <v>0</v>
      </c>
    </row>
    <row r="1328" spans="1:11" x14ac:dyDescent="0.25">
      <c r="A1328" s="1">
        <v>1890444</v>
      </c>
      <c r="B1328" s="1" t="s">
        <v>1341</v>
      </c>
      <c r="D1328" s="2">
        <v>0</v>
      </c>
      <c r="E1328" s="2" t="s">
        <v>0</v>
      </c>
      <c r="G1328" s="1" t="s">
        <v>1968</v>
      </c>
      <c r="H1328" s="2">
        <v>1</v>
      </c>
      <c r="J1328" s="15">
        <v>394.05</v>
      </c>
      <c r="K1328" s="40">
        <v>0</v>
      </c>
    </row>
    <row r="1329" spans="1:11" x14ac:dyDescent="0.25">
      <c r="A1329" s="1">
        <v>1891574</v>
      </c>
      <c r="B1329" s="1" t="s">
        <v>1342</v>
      </c>
      <c r="D1329" s="2">
        <v>0</v>
      </c>
      <c r="E1329" s="2" t="s">
        <v>0</v>
      </c>
      <c r="G1329" s="1" t="s">
        <v>1969</v>
      </c>
      <c r="H1329" s="2">
        <v>1</v>
      </c>
      <c r="I1329" s="2">
        <v>28</v>
      </c>
      <c r="J1329" s="15">
        <v>31.57</v>
      </c>
      <c r="K1329" s="40">
        <v>0</v>
      </c>
    </row>
    <row r="1330" spans="1:11" x14ac:dyDescent="0.25">
      <c r="A1330" s="1">
        <v>1899743</v>
      </c>
      <c r="B1330" s="1" t="s">
        <v>1343</v>
      </c>
      <c r="D1330" s="2">
        <v>0</v>
      </c>
      <c r="E1330" s="2" t="s">
        <v>0</v>
      </c>
      <c r="G1330" s="1" t="s">
        <v>1968</v>
      </c>
      <c r="H1330" s="2">
        <v>1</v>
      </c>
      <c r="J1330" s="15">
        <v>74.3</v>
      </c>
      <c r="K1330" s="40">
        <v>0</v>
      </c>
    </row>
    <row r="1331" spans="1:11" x14ac:dyDescent="0.25">
      <c r="A1331" s="1">
        <v>1899744</v>
      </c>
      <c r="B1331" s="1" t="s">
        <v>1344</v>
      </c>
      <c r="D1331" s="2">
        <v>0</v>
      </c>
      <c r="E1331" s="2" t="s">
        <v>0</v>
      </c>
      <c r="G1331" s="1" t="s">
        <v>1968</v>
      </c>
      <c r="H1331" s="2">
        <v>1</v>
      </c>
      <c r="J1331" s="15">
        <v>79.25</v>
      </c>
      <c r="K1331" s="40">
        <v>0</v>
      </c>
    </row>
    <row r="1332" spans="1:11" x14ac:dyDescent="0.25">
      <c r="A1332" s="1">
        <v>1899745</v>
      </c>
      <c r="B1332" s="1" t="s">
        <v>1345</v>
      </c>
      <c r="D1332" s="2">
        <v>0</v>
      </c>
      <c r="E1332" s="2" t="s">
        <v>0</v>
      </c>
      <c r="G1332" s="1" t="s">
        <v>1968</v>
      </c>
      <c r="H1332" s="2">
        <v>1</v>
      </c>
      <c r="J1332" s="15">
        <v>84.22</v>
      </c>
      <c r="K1332" s="40">
        <v>0</v>
      </c>
    </row>
    <row r="1333" spans="1:11" x14ac:dyDescent="0.25">
      <c r="A1333" s="1">
        <v>1899746</v>
      </c>
      <c r="B1333" s="1" t="s">
        <v>1346</v>
      </c>
      <c r="D1333" s="2">
        <v>0</v>
      </c>
      <c r="E1333" s="2" t="s">
        <v>0</v>
      </c>
      <c r="G1333" s="1" t="s">
        <v>1968</v>
      </c>
      <c r="H1333" s="2">
        <v>1</v>
      </c>
      <c r="J1333" s="15">
        <v>67.22</v>
      </c>
      <c r="K1333" s="40">
        <v>0</v>
      </c>
    </row>
    <row r="1334" spans="1:11" x14ac:dyDescent="0.25">
      <c r="A1334" s="1">
        <v>1899750</v>
      </c>
      <c r="B1334" s="1" t="s">
        <v>1347</v>
      </c>
      <c r="D1334" s="2">
        <v>0</v>
      </c>
      <c r="E1334" s="2" t="s">
        <v>0</v>
      </c>
      <c r="G1334" s="1" t="s">
        <v>1968</v>
      </c>
      <c r="H1334" s="2">
        <v>1</v>
      </c>
      <c r="J1334" s="15">
        <v>34.11</v>
      </c>
      <c r="K1334" s="40">
        <v>0</v>
      </c>
    </row>
    <row r="1335" spans="1:11" x14ac:dyDescent="0.25">
      <c r="A1335" s="1">
        <v>1899751</v>
      </c>
      <c r="B1335" s="1" t="s">
        <v>1348</v>
      </c>
      <c r="D1335" s="2">
        <v>0</v>
      </c>
      <c r="E1335" s="2" t="s">
        <v>0</v>
      </c>
      <c r="G1335" s="1" t="s">
        <v>1968</v>
      </c>
      <c r="H1335" s="2">
        <v>1</v>
      </c>
      <c r="J1335" s="15">
        <v>335.86</v>
      </c>
      <c r="K1335" s="40">
        <v>0</v>
      </c>
    </row>
    <row r="1336" spans="1:11" x14ac:dyDescent="0.25">
      <c r="A1336" s="1">
        <v>1899752</v>
      </c>
      <c r="B1336" s="1" t="s">
        <v>1349</v>
      </c>
      <c r="D1336" s="2">
        <v>0</v>
      </c>
      <c r="E1336" s="2" t="s">
        <v>0</v>
      </c>
      <c r="G1336" s="1" t="s">
        <v>1968</v>
      </c>
      <c r="H1336" s="2">
        <v>1</v>
      </c>
      <c r="J1336" s="15">
        <v>76.290000000000006</v>
      </c>
      <c r="K1336" s="40">
        <v>0</v>
      </c>
    </row>
    <row r="1337" spans="1:11" x14ac:dyDescent="0.25">
      <c r="A1337" s="1">
        <v>1899753</v>
      </c>
      <c r="B1337" s="1" t="s">
        <v>1350</v>
      </c>
      <c r="D1337" s="2">
        <v>0</v>
      </c>
      <c r="E1337" s="2" t="s">
        <v>0</v>
      </c>
      <c r="G1337" s="1" t="s">
        <v>1968</v>
      </c>
      <c r="H1337" s="2">
        <v>1</v>
      </c>
      <c r="J1337" s="15">
        <v>81.39</v>
      </c>
      <c r="K1337" s="40">
        <v>0</v>
      </c>
    </row>
    <row r="1338" spans="1:11" x14ac:dyDescent="0.25">
      <c r="A1338" s="1">
        <v>1899754</v>
      </c>
      <c r="B1338" s="1" t="s">
        <v>1351</v>
      </c>
      <c r="D1338" s="2">
        <v>0</v>
      </c>
      <c r="E1338" s="2" t="s">
        <v>0</v>
      </c>
      <c r="G1338" s="1" t="s">
        <v>1968</v>
      </c>
      <c r="H1338" s="2">
        <v>1</v>
      </c>
      <c r="J1338" s="15">
        <v>86.48</v>
      </c>
      <c r="K1338" s="40">
        <v>0</v>
      </c>
    </row>
    <row r="1339" spans="1:11" x14ac:dyDescent="0.25">
      <c r="A1339" s="1">
        <v>1899755</v>
      </c>
      <c r="B1339" s="1" t="s">
        <v>1352</v>
      </c>
      <c r="D1339" s="2">
        <v>0</v>
      </c>
      <c r="E1339" s="2" t="s">
        <v>0</v>
      </c>
      <c r="G1339" s="1" t="s">
        <v>1968</v>
      </c>
      <c r="H1339" s="2">
        <v>1</v>
      </c>
      <c r="J1339" s="15">
        <v>14.16</v>
      </c>
      <c r="K1339" s="40">
        <v>0</v>
      </c>
    </row>
    <row r="1340" spans="1:11" x14ac:dyDescent="0.25">
      <c r="A1340" s="1">
        <v>1899756</v>
      </c>
      <c r="B1340" s="1" t="s">
        <v>1353</v>
      </c>
      <c r="D1340" s="2">
        <v>0</v>
      </c>
      <c r="E1340" s="2" t="s">
        <v>131</v>
      </c>
      <c r="G1340" s="1" t="s">
        <v>1968</v>
      </c>
      <c r="H1340" s="2">
        <v>1</v>
      </c>
      <c r="J1340" s="15">
        <v>353.77</v>
      </c>
      <c r="K1340" s="40">
        <v>0</v>
      </c>
    </row>
    <row r="1341" spans="1:11" x14ac:dyDescent="0.25">
      <c r="A1341" s="1">
        <v>1899757</v>
      </c>
      <c r="B1341" s="1" t="s">
        <v>1354</v>
      </c>
      <c r="D1341" s="2">
        <v>0</v>
      </c>
      <c r="E1341" s="2" t="s">
        <v>131</v>
      </c>
      <c r="G1341" s="1" t="s">
        <v>1968</v>
      </c>
      <c r="H1341" s="2">
        <v>1</v>
      </c>
      <c r="J1341" s="15">
        <v>353.77</v>
      </c>
      <c r="K1341" s="40">
        <v>0</v>
      </c>
    </row>
    <row r="1342" spans="1:11" x14ac:dyDescent="0.25">
      <c r="A1342" s="1">
        <v>1899760</v>
      </c>
      <c r="B1342" s="1" t="s">
        <v>1355</v>
      </c>
      <c r="D1342" s="2">
        <v>0</v>
      </c>
      <c r="E1342" s="2" t="s">
        <v>131</v>
      </c>
      <c r="G1342" s="1" t="s">
        <v>1968</v>
      </c>
      <c r="H1342" s="2">
        <v>1</v>
      </c>
      <c r="J1342" s="15">
        <v>35.380000000000003</v>
      </c>
      <c r="K1342" s="40">
        <v>0</v>
      </c>
    </row>
    <row r="1343" spans="1:11" x14ac:dyDescent="0.25">
      <c r="A1343" s="1">
        <v>1899761</v>
      </c>
      <c r="B1343" s="1" t="s">
        <v>1356</v>
      </c>
      <c r="D1343" s="2">
        <v>0</v>
      </c>
      <c r="E1343" s="2" t="s">
        <v>0</v>
      </c>
      <c r="G1343" s="1" t="s">
        <v>1968</v>
      </c>
      <c r="H1343" s="2">
        <v>1</v>
      </c>
      <c r="J1343" s="15">
        <v>11.92</v>
      </c>
      <c r="K1343" s="40">
        <v>0</v>
      </c>
    </row>
    <row r="1344" spans="1:11" x14ac:dyDescent="0.25">
      <c r="A1344" s="1">
        <v>1905604</v>
      </c>
      <c r="B1344" s="1" t="s">
        <v>1357</v>
      </c>
      <c r="D1344" s="2">
        <v>0</v>
      </c>
      <c r="E1344" s="2" t="s">
        <v>0</v>
      </c>
      <c r="G1344" s="1" t="s">
        <v>1968</v>
      </c>
      <c r="H1344" s="2">
        <v>1</v>
      </c>
      <c r="J1344" s="15">
        <v>1642.81</v>
      </c>
      <c r="K1344" s="40">
        <v>0</v>
      </c>
    </row>
    <row r="1345" spans="1:11" x14ac:dyDescent="0.25">
      <c r="A1345" s="1">
        <v>1906415</v>
      </c>
      <c r="B1345" s="1" t="s">
        <v>1358</v>
      </c>
      <c r="D1345" s="2">
        <v>0</v>
      </c>
      <c r="E1345" s="2" t="s">
        <v>0</v>
      </c>
      <c r="G1345" s="1" t="s">
        <v>1968</v>
      </c>
      <c r="H1345" s="2">
        <v>1</v>
      </c>
      <c r="J1345" s="15">
        <v>23.62</v>
      </c>
      <c r="K1345" s="40">
        <v>0</v>
      </c>
    </row>
    <row r="1346" spans="1:11" x14ac:dyDescent="0.25">
      <c r="A1346" s="1">
        <v>1925170</v>
      </c>
      <c r="B1346" s="1" t="s">
        <v>1359</v>
      </c>
      <c r="D1346" s="2">
        <v>0</v>
      </c>
      <c r="E1346" s="2" t="s">
        <v>0</v>
      </c>
      <c r="G1346" s="1" t="s">
        <v>1968</v>
      </c>
      <c r="H1346" s="2">
        <v>1</v>
      </c>
      <c r="J1346" s="15">
        <v>2062.6799999999998</v>
      </c>
      <c r="K1346" s="40">
        <v>0</v>
      </c>
    </row>
    <row r="1347" spans="1:11" x14ac:dyDescent="0.25">
      <c r="A1347" s="1">
        <v>1925171</v>
      </c>
      <c r="B1347" s="1" t="s">
        <v>1360</v>
      </c>
      <c r="D1347" s="2">
        <v>0</v>
      </c>
      <c r="E1347" s="2" t="s">
        <v>0</v>
      </c>
      <c r="G1347" s="1" t="s">
        <v>1968</v>
      </c>
      <c r="H1347" s="2">
        <v>1</v>
      </c>
      <c r="J1347" s="15">
        <v>2758.12</v>
      </c>
      <c r="K1347" s="40">
        <v>0</v>
      </c>
    </row>
    <row r="1348" spans="1:11" x14ac:dyDescent="0.25">
      <c r="A1348" s="1">
        <v>1925173</v>
      </c>
      <c r="B1348" s="1" t="s">
        <v>1361</v>
      </c>
      <c r="D1348" s="2">
        <v>0</v>
      </c>
      <c r="E1348" s="2" t="s">
        <v>0</v>
      </c>
      <c r="G1348" s="1" t="s">
        <v>1968</v>
      </c>
      <c r="H1348" s="2">
        <v>1</v>
      </c>
      <c r="J1348" s="15">
        <v>4536.9799999999996</v>
      </c>
      <c r="K1348" s="40">
        <v>0</v>
      </c>
    </row>
    <row r="1349" spans="1:11" x14ac:dyDescent="0.25">
      <c r="A1349" s="1">
        <v>1926622</v>
      </c>
      <c r="B1349" s="1" t="s">
        <v>1362</v>
      </c>
      <c r="D1349" s="2">
        <v>0</v>
      </c>
      <c r="E1349" s="2" t="s">
        <v>56</v>
      </c>
      <c r="G1349" s="1" t="s">
        <v>786</v>
      </c>
      <c r="H1349" s="2">
        <v>1</v>
      </c>
      <c r="I1349" s="2">
        <v>7</v>
      </c>
      <c r="J1349" s="15">
        <v>3.17</v>
      </c>
      <c r="K1349" s="40">
        <v>0</v>
      </c>
    </row>
    <row r="1350" spans="1:11" x14ac:dyDescent="0.25">
      <c r="A1350" s="1">
        <v>1929284</v>
      </c>
      <c r="B1350" s="1" t="s">
        <v>35</v>
      </c>
      <c r="D1350" s="2">
        <v>0</v>
      </c>
      <c r="E1350" s="2" t="s">
        <v>0</v>
      </c>
      <c r="G1350" s="1" t="s">
        <v>1969</v>
      </c>
      <c r="H1350" s="2">
        <v>1</v>
      </c>
      <c r="I1350" s="2">
        <v>77</v>
      </c>
      <c r="J1350" s="15">
        <v>563.22</v>
      </c>
      <c r="K1350" s="40">
        <v>0</v>
      </c>
    </row>
    <row r="1351" spans="1:11" x14ac:dyDescent="0.25">
      <c r="A1351" s="1">
        <v>1950603</v>
      </c>
      <c r="B1351" s="1" t="s">
        <v>1363</v>
      </c>
      <c r="D1351" s="2">
        <v>0</v>
      </c>
      <c r="E1351" s="2" t="s">
        <v>0</v>
      </c>
      <c r="G1351" s="1" t="s">
        <v>1968</v>
      </c>
      <c r="H1351" s="2">
        <v>1</v>
      </c>
      <c r="J1351" s="15">
        <v>1592.59</v>
      </c>
      <c r="K1351" s="40">
        <v>0</v>
      </c>
    </row>
    <row r="1352" spans="1:11" x14ac:dyDescent="0.25">
      <c r="A1352" s="1">
        <v>1950604</v>
      </c>
      <c r="B1352" s="1" t="s">
        <v>1364</v>
      </c>
      <c r="D1352" s="2">
        <v>0</v>
      </c>
      <c r="E1352" s="2" t="s">
        <v>0</v>
      </c>
      <c r="G1352" s="1" t="s">
        <v>1968</v>
      </c>
      <c r="H1352" s="2">
        <v>1</v>
      </c>
      <c r="J1352" s="15">
        <v>1358.45</v>
      </c>
      <c r="K1352" s="40">
        <v>0</v>
      </c>
    </row>
    <row r="1353" spans="1:11" x14ac:dyDescent="0.25">
      <c r="A1353" s="1">
        <v>1950605</v>
      </c>
      <c r="B1353" s="1" t="s">
        <v>1365</v>
      </c>
      <c r="D1353" s="2">
        <v>0</v>
      </c>
      <c r="E1353" s="2" t="s">
        <v>0</v>
      </c>
      <c r="G1353" s="1" t="s">
        <v>1968</v>
      </c>
      <c r="H1353" s="2">
        <v>1</v>
      </c>
      <c r="J1353" s="15">
        <v>1891.76</v>
      </c>
      <c r="K1353" s="40">
        <v>0</v>
      </c>
    </row>
    <row r="1354" spans="1:11" x14ac:dyDescent="0.25">
      <c r="A1354" s="1">
        <v>1950606</v>
      </c>
      <c r="B1354" s="1" t="s">
        <v>1366</v>
      </c>
      <c r="D1354" s="2">
        <v>0</v>
      </c>
      <c r="E1354" s="2" t="s">
        <v>0</v>
      </c>
      <c r="G1354" s="1" t="s">
        <v>1968</v>
      </c>
      <c r="H1354" s="2">
        <v>1</v>
      </c>
      <c r="J1354" s="15">
        <v>2938.02</v>
      </c>
      <c r="K1354" s="40">
        <v>0</v>
      </c>
    </row>
    <row r="1355" spans="1:11" x14ac:dyDescent="0.25">
      <c r="A1355" s="1">
        <v>1952088</v>
      </c>
      <c r="B1355" s="1" t="s">
        <v>1367</v>
      </c>
      <c r="D1355" s="2">
        <v>0</v>
      </c>
      <c r="E1355" s="2" t="s">
        <v>0</v>
      </c>
      <c r="G1355" s="1" t="s">
        <v>1968</v>
      </c>
      <c r="H1355" s="2">
        <v>1</v>
      </c>
      <c r="J1355" s="15">
        <v>469.29</v>
      </c>
      <c r="K1355" s="40">
        <v>0</v>
      </c>
    </row>
    <row r="1356" spans="1:11" x14ac:dyDescent="0.25">
      <c r="A1356" s="1">
        <v>1954292</v>
      </c>
      <c r="B1356" s="1" t="s">
        <v>1368</v>
      </c>
      <c r="D1356" s="2">
        <v>0</v>
      </c>
      <c r="E1356" s="2" t="s">
        <v>0</v>
      </c>
      <c r="G1356" s="1" t="s">
        <v>1968</v>
      </c>
      <c r="H1356" s="2">
        <v>1</v>
      </c>
      <c r="J1356" s="15">
        <v>2624.31</v>
      </c>
      <c r="K1356" s="40">
        <v>0</v>
      </c>
    </row>
    <row r="1357" spans="1:11" x14ac:dyDescent="0.25">
      <c r="A1357" s="1">
        <v>1954293</v>
      </c>
      <c r="B1357" s="1" t="s">
        <v>1369</v>
      </c>
      <c r="D1357" s="2">
        <v>0</v>
      </c>
      <c r="E1357" s="2" t="s">
        <v>0</v>
      </c>
      <c r="G1357" s="1" t="s">
        <v>1968</v>
      </c>
      <c r="H1357" s="2">
        <v>1</v>
      </c>
      <c r="J1357" s="15">
        <v>3919.02</v>
      </c>
      <c r="K1357" s="40">
        <v>0</v>
      </c>
    </row>
    <row r="1358" spans="1:11" x14ac:dyDescent="0.25">
      <c r="A1358" s="1">
        <v>1954294</v>
      </c>
      <c r="B1358" s="1" t="s">
        <v>1370</v>
      </c>
      <c r="D1358" s="2">
        <v>0</v>
      </c>
      <c r="E1358" s="2" t="s">
        <v>0</v>
      </c>
      <c r="G1358" s="1" t="s">
        <v>1968</v>
      </c>
      <c r="H1358" s="2">
        <v>1</v>
      </c>
      <c r="J1358" s="15">
        <v>6173.45</v>
      </c>
      <c r="K1358" s="40">
        <v>0</v>
      </c>
    </row>
    <row r="1359" spans="1:11" x14ac:dyDescent="0.25">
      <c r="A1359" s="1">
        <v>1958984</v>
      </c>
      <c r="B1359" s="1" t="s">
        <v>1371</v>
      </c>
      <c r="D1359" s="2">
        <v>0</v>
      </c>
      <c r="E1359" s="2" t="s">
        <v>0</v>
      </c>
      <c r="G1359" s="1" t="s">
        <v>1968</v>
      </c>
      <c r="H1359" s="2">
        <v>1</v>
      </c>
      <c r="J1359" s="15">
        <v>3.16</v>
      </c>
      <c r="K1359" s="40">
        <v>0</v>
      </c>
    </row>
    <row r="1360" spans="1:11" x14ac:dyDescent="0.25">
      <c r="A1360" s="1">
        <v>1981687</v>
      </c>
      <c r="B1360" s="1" t="s">
        <v>1372</v>
      </c>
      <c r="D1360" s="2">
        <v>0</v>
      </c>
      <c r="E1360" s="2" t="s">
        <v>0</v>
      </c>
      <c r="G1360" s="1" t="s">
        <v>1969</v>
      </c>
      <c r="H1360" s="2">
        <v>1</v>
      </c>
      <c r="I1360" s="2">
        <v>28</v>
      </c>
      <c r="J1360" s="15">
        <v>29.07</v>
      </c>
      <c r="K1360" s="40">
        <v>0</v>
      </c>
    </row>
    <row r="1361" spans="1:11" x14ac:dyDescent="0.25">
      <c r="A1361" s="1">
        <v>1981688</v>
      </c>
      <c r="B1361" s="1" t="s">
        <v>1373</v>
      </c>
      <c r="D1361" s="2">
        <v>0</v>
      </c>
      <c r="E1361" s="2" t="s">
        <v>0</v>
      </c>
      <c r="G1361" s="1" t="s">
        <v>1969</v>
      </c>
      <c r="H1361" s="2">
        <v>1</v>
      </c>
      <c r="I1361" s="2">
        <v>28</v>
      </c>
      <c r="J1361" s="15">
        <v>29.62</v>
      </c>
      <c r="K1361" s="40">
        <v>0</v>
      </c>
    </row>
    <row r="1362" spans="1:11" x14ac:dyDescent="0.25">
      <c r="A1362" s="1">
        <v>1982204</v>
      </c>
      <c r="B1362" s="1" t="s">
        <v>1374</v>
      </c>
      <c r="D1362" s="2">
        <v>0</v>
      </c>
      <c r="E1362" s="2" t="s">
        <v>0</v>
      </c>
      <c r="G1362" s="1" t="s">
        <v>1968</v>
      </c>
      <c r="H1362" s="2">
        <v>1</v>
      </c>
      <c r="J1362" s="15">
        <v>19.66</v>
      </c>
      <c r="K1362" s="40">
        <v>0</v>
      </c>
    </row>
    <row r="1363" spans="1:11" x14ac:dyDescent="0.25">
      <c r="A1363" s="1">
        <v>1982205</v>
      </c>
      <c r="B1363" s="1" t="s">
        <v>1375</v>
      </c>
      <c r="D1363" s="2">
        <v>0</v>
      </c>
      <c r="E1363" s="2" t="s">
        <v>0</v>
      </c>
      <c r="G1363" s="1" t="s">
        <v>1969</v>
      </c>
      <c r="H1363" s="2">
        <v>1</v>
      </c>
      <c r="I1363" s="2">
        <v>28</v>
      </c>
      <c r="J1363" s="15">
        <v>29.07</v>
      </c>
      <c r="K1363" s="40">
        <v>0</v>
      </c>
    </row>
    <row r="1364" spans="1:11" x14ac:dyDescent="0.25">
      <c r="A1364" s="1">
        <v>1982206</v>
      </c>
      <c r="B1364" s="1" t="s">
        <v>1376</v>
      </c>
      <c r="D1364" s="2">
        <v>0</v>
      </c>
      <c r="E1364" s="2" t="s">
        <v>0</v>
      </c>
      <c r="G1364" s="1" t="s">
        <v>1969</v>
      </c>
      <c r="H1364" s="2">
        <v>1</v>
      </c>
      <c r="I1364" s="2">
        <v>28</v>
      </c>
      <c r="J1364" s="15">
        <v>33.35</v>
      </c>
      <c r="K1364" s="40">
        <v>0</v>
      </c>
    </row>
    <row r="1365" spans="1:11" x14ac:dyDescent="0.25">
      <c r="A1365" s="1">
        <v>1982207</v>
      </c>
      <c r="B1365" s="1" t="s">
        <v>1377</v>
      </c>
      <c r="D1365" s="2">
        <v>0</v>
      </c>
      <c r="E1365" s="2" t="s">
        <v>0</v>
      </c>
      <c r="G1365" s="1" t="s">
        <v>1969</v>
      </c>
      <c r="H1365" s="2">
        <v>1</v>
      </c>
      <c r="I1365" s="2">
        <v>28</v>
      </c>
      <c r="J1365" s="15">
        <v>33.94</v>
      </c>
      <c r="K1365" s="40">
        <v>0</v>
      </c>
    </row>
    <row r="1366" spans="1:11" x14ac:dyDescent="0.25">
      <c r="A1366" s="1">
        <v>1991427</v>
      </c>
      <c r="B1366" s="1" t="s">
        <v>1378</v>
      </c>
      <c r="D1366" s="2">
        <v>0</v>
      </c>
      <c r="E1366" s="2" t="s">
        <v>0</v>
      </c>
      <c r="G1366" s="1" t="s">
        <v>1968</v>
      </c>
      <c r="H1366" s="2">
        <v>1</v>
      </c>
      <c r="J1366" s="15">
        <v>19.96</v>
      </c>
      <c r="K1366" s="40">
        <v>0</v>
      </c>
    </row>
    <row r="1367" spans="1:11" x14ac:dyDescent="0.25">
      <c r="A1367" s="1">
        <v>2012202</v>
      </c>
      <c r="B1367" s="1" t="s">
        <v>1379</v>
      </c>
      <c r="D1367" s="2">
        <v>0</v>
      </c>
      <c r="E1367" s="2" t="s">
        <v>1899</v>
      </c>
      <c r="G1367" s="1" t="s">
        <v>1969</v>
      </c>
      <c r="H1367" s="2">
        <v>1</v>
      </c>
      <c r="I1367" s="2">
        <v>7</v>
      </c>
      <c r="J1367" s="15">
        <v>105.18</v>
      </c>
      <c r="K1367" s="40">
        <v>0</v>
      </c>
    </row>
    <row r="1368" spans="1:11" x14ac:dyDescent="0.25">
      <c r="A1368" s="1">
        <v>2012806</v>
      </c>
      <c r="B1368" s="1" t="s">
        <v>1380</v>
      </c>
      <c r="D1368" s="2">
        <v>0</v>
      </c>
      <c r="E1368" s="2" t="s">
        <v>1899</v>
      </c>
      <c r="G1368" s="1" t="s">
        <v>1969</v>
      </c>
      <c r="H1368" s="2">
        <v>1</v>
      </c>
      <c r="I1368" s="2">
        <v>14</v>
      </c>
      <c r="J1368" s="15">
        <v>429.34</v>
      </c>
      <c r="K1368" s="40">
        <v>0</v>
      </c>
    </row>
    <row r="1369" spans="1:11" x14ac:dyDescent="0.25">
      <c r="A1369" s="1">
        <v>2023167</v>
      </c>
      <c r="B1369" s="1" t="s">
        <v>1381</v>
      </c>
      <c r="D1369" s="2">
        <v>0</v>
      </c>
      <c r="E1369" s="2" t="s">
        <v>0</v>
      </c>
      <c r="G1369" s="1" t="s">
        <v>1969</v>
      </c>
      <c r="H1369" s="2">
        <v>1</v>
      </c>
      <c r="I1369" s="2">
        <v>63</v>
      </c>
      <c r="J1369" s="15">
        <v>466.32</v>
      </c>
      <c r="K1369" s="40">
        <v>0</v>
      </c>
    </row>
    <row r="1370" spans="1:11" x14ac:dyDescent="0.25">
      <c r="A1370" s="1">
        <v>2025818</v>
      </c>
      <c r="B1370" s="1" t="s">
        <v>1382</v>
      </c>
      <c r="D1370" s="2">
        <v>0</v>
      </c>
      <c r="E1370" s="2" t="s">
        <v>0</v>
      </c>
      <c r="G1370" s="1" t="s">
        <v>1968</v>
      </c>
      <c r="H1370" s="2">
        <v>1</v>
      </c>
      <c r="J1370" s="15">
        <v>8.8699999999999992</v>
      </c>
      <c r="K1370" s="40">
        <v>0</v>
      </c>
    </row>
    <row r="1371" spans="1:11" x14ac:dyDescent="0.25">
      <c r="A1371" s="1">
        <v>2027065</v>
      </c>
      <c r="B1371" s="1" t="s">
        <v>1383</v>
      </c>
      <c r="D1371" s="2">
        <v>0</v>
      </c>
      <c r="E1371" s="2" t="s">
        <v>131</v>
      </c>
      <c r="G1371" s="1" t="s">
        <v>1968</v>
      </c>
      <c r="H1371" s="2">
        <v>1</v>
      </c>
      <c r="J1371" s="15">
        <v>15.3</v>
      </c>
      <c r="K1371" s="40">
        <v>0</v>
      </c>
    </row>
    <row r="1372" spans="1:11" x14ac:dyDescent="0.25">
      <c r="A1372" s="1">
        <v>2029993</v>
      </c>
      <c r="B1372" s="1" t="s">
        <v>1384</v>
      </c>
      <c r="D1372" s="2">
        <v>0</v>
      </c>
      <c r="E1372" s="2" t="s">
        <v>0</v>
      </c>
      <c r="G1372" s="1" t="s">
        <v>1968</v>
      </c>
      <c r="H1372" s="2">
        <v>1</v>
      </c>
      <c r="J1372" s="15">
        <v>446.46</v>
      </c>
      <c r="K1372" s="40">
        <v>0</v>
      </c>
    </row>
    <row r="1373" spans="1:11" x14ac:dyDescent="0.25">
      <c r="A1373" s="1">
        <v>2030935</v>
      </c>
      <c r="B1373" s="1" t="s">
        <v>1385</v>
      </c>
      <c r="D1373" s="2">
        <v>0</v>
      </c>
      <c r="E1373" s="2" t="s">
        <v>0</v>
      </c>
      <c r="G1373" s="1" t="s">
        <v>1968</v>
      </c>
      <c r="H1373" s="2">
        <v>1</v>
      </c>
      <c r="J1373" s="15">
        <v>328.22</v>
      </c>
      <c r="K1373" s="40">
        <v>0</v>
      </c>
    </row>
    <row r="1374" spans="1:11" x14ac:dyDescent="0.25">
      <c r="A1374" s="1">
        <v>2030936</v>
      </c>
      <c r="B1374" s="1" t="s">
        <v>1386</v>
      </c>
      <c r="D1374" s="2">
        <v>0</v>
      </c>
      <c r="E1374" s="2" t="s">
        <v>0</v>
      </c>
      <c r="G1374" s="1" t="s">
        <v>1968</v>
      </c>
      <c r="H1374" s="2">
        <v>1</v>
      </c>
      <c r="J1374" s="15">
        <v>567.72</v>
      </c>
      <c r="K1374" s="40">
        <v>0</v>
      </c>
    </row>
    <row r="1375" spans="1:11" x14ac:dyDescent="0.25">
      <c r="A1375" s="1">
        <v>2030937</v>
      </c>
      <c r="B1375" s="1" t="s">
        <v>1387</v>
      </c>
      <c r="D1375" s="2">
        <v>0</v>
      </c>
      <c r="E1375" s="2" t="s">
        <v>0</v>
      </c>
      <c r="G1375" s="1" t="s">
        <v>1968</v>
      </c>
      <c r="H1375" s="2">
        <v>1</v>
      </c>
      <c r="J1375" s="15">
        <v>549.98</v>
      </c>
      <c r="K1375" s="40">
        <v>0</v>
      </c>
    </row>
    <row r="1376" spans="1:11" x14ac:dyDescent="0.25">
      <c r="A1376" s="1">
        <v>2030938</v>
      </c>
      <c r="B1376" s="1" t="s">
        <v>1388</v>
      </c>
      <c r="D1376" s="2">
        <v>0</v>
      </c>
      <c r="E1376" s="2" t="s">
        <v>0</v>
      </c>
      <c r="G1376" s="1" t="s">
        <v>1968</v>
      </c>
      <c r="H1376" s="2">
        <v>1</v>
      </c>
      <c r="J1376" s="15">
        <v>1055.6099999999999</v>
      </c>
      <c r="K1376" s="40">
        <v>0</v>
      </c>
    </row>
    <row r="1377" spans="1:11" x14ac:dyDescent="0.25">
      <c r="A1377" s="1">
        <v>2031095</v>
      </c>
      <c r="B1377" s="1" t="s">
        <v>1389</v>
      </c>
      <c r="D1377" s="2">
        <v>0</v>
      </c>
      <c r="E1377" s="2" t="s">
        <v>0</v>
      </c>
      <c r="G1377" s="1" t="s">
        <v>1969</v>
      </c>
      <c r="H1377" s="2">
        <v>1</v>
      </c>
      <c r="I1377" s="2">
        <v>42</v>
      </c>
      <c r="J1377" s="15">
        <v>6.37</v>
      </c>
      <c r="K1377" s="40">
        <v>0</v>
      </c>
    </row>
    <row r="1378" spans="1:11" x14ac:dyDescent="0.25">
      <c r="A1378" s="1">
        <v>2031096</v>
      </c>
      <c r="B1378" s="1" t="s">
        <v>1390</v>
      </c>
      <c r="D1378" s="2">
        <v>0</v>
      </c>
      <c r="E1378" s="2" t="s">
        <v>0</v>
      </c>
      <c r="G1378" s="1" t="s">
        <v>786</v>
      </c>
      <c r="H1378" s="2">
        <v>1</v>
      </c>
      <c r="J1378" s="15">
        <v>13.02</v>
      </c>
      <c r="K1378" s="40">
        <v>0</v>
      </c>
    </row>
    <row r="1379" spans="1:11" x14ac:dyDescent="0.25">
      <c r="A1379" s="1">
        <v>2034050</v>
      </c>
      <c r="B1379" s="1" t="s">
        <v>1391</v>
      </c>
      <c r="D1379" s="2">
        <v>0</v>
      </c>
      <c r="E1379" s="2" t="s">
        <v>426</v>
      </c>
      <c r="G1379" s="1" t="s">
        <v>1969</v>
      </c>
      <c r="H1379" s="2">
        <v>1</v>
      </c>
      <c r="I1379" s="2">
        <v>28</v>
      </c>
      <c r="J1379" s="15">
        <v>1980.99</v>
      </c>
      <c r="K1379" s="40">
        <v>0</v>
      </c>
    </row>
    <row r="1380" spans="1:11" x14ac:dyDescent="0.25">
      <c r="A1380" s="1">
        <v>2034058</v>
      </c>
      <c r="B1380" s="1" t="s">
        <v>1392</v>
      </c>
      <c r="D1380" s="2">
        <v>0</v>
      </c>
      <c r="E1380" s="2" t="s">
        <v>426</v>
      </c>
      <c r="G1380" s="1" t="s">
        <v>1969</v>
      </c>
      <c r="H1380" s="2">
        <v>1</v>
      </c>
      <c r="I1380" s="2">
        <v>28</v>
      </c>
      <c r="J1380" s="15">
        <v>2078.52</v>
      </c>
      <c r="K1380" s="40">
        <v>0</v>
      </c>
    </row>
    <row r="1381" spans="1:11" x14ac:dyDescent="0.25">
      <c r="A1381" s="1">
        <v>2036262</v>
      </c>
      <c r="B1381" s="1" t="s">
        <v>1393</v>
      </c>
      <c r="D1381" s="2">
        <v>0</v>
      </c>
      <c r="E1381" s="2" t="s">
        <v>0</v>
      </c>
      <c r="G1381" s="1" t="s">
        <v>1969</v>
      </c>
      <c r="H1381" s="2">
        <v>1</v>
      </c>
      <c r="I1381" s="2">
        <v>84</v>
      </c>
      <c r="J1381" s="15">
        <v>173.31</v>
      </c>
      <c r="K1381" s="40">
        <v>0</v>
      </c>
    </row>
    <row r="1382" spans="1:11" x14ac:dyDescent="0.25">
      <c r="A1382" s="1">
        <v>2036263</v>
      </c>
      <c r="B1382" s="1" t="s">
        <v>1394</v>
      </c>
      <c r="D1382" s="2">
        <v>0</v>
      </c>
      <c r="E1382" s="2" t="s">
        <v>0</v>
      </c>
      <c r="G1382" s="1" t="s">
        <v>1969</v>
      </c>
      <c r="H1382" s="2">
        <v>1</v>
      </c>
      <c r="I1382" s="2">
        <v>63</v>
      </c>
      <c r="J1382" s="15">
        <v>302.72000000000003</v>
      </c>
      <c r="K1382" s="40">
        <v>0</v>
      </c>
    </row>
    <row r="1383" spans="1:11" x14ac:dyDescent="0.25">
      <c r="A1383" s="1">
        <v>2036281</v>
      </c>
      <c r="B1383" s="1" t="s">
        <v>1395</v>
      </c>
      <c r="D1383" s="2">
        <v>0</v>
      </c>
      <c r="E1383" s="2" t="s">
        <v>0</v>
      </c>
      <c r="G1383" s="1" t="s">
        <v>786</v>
      </c>
      <c r="H1383" s="2">
        <v>1</v>
      </c>
      <c r="I1383" s="2">
        <v>42</v>
      </c>
      <c r="J1383" s="15">
        <v>14.46</v>
      </c>
      <c r="K1383" s="40">
        <v>0</v>
      </c>
    </row>
    <row r="1384" spans="1:11" x14ac:dyDescent="0.25">
      <c r="A1384" s="1">
        <v>2036285</v>
      </c>
      <c r="B1384" s="1" t="s">
        <v>1396</v>
      </c>
      <c r="D1384" s="2">
        <v>0</v>
      </c>
      <c r="E1384" s="2" t="s">
        <v>0</v>
      </c>
      <c r="G1384" s="1" t="s">
        <v>1969</v>
      </c>
      <c r="H1384" s="2">
        <v>1</v>
      </c>
      <c r="I1384" s="2">
        <v>42</v>
      </c>
      <c r="J1384" s="15">
        <v>7.97</v>
      </c>
      <c r="K1384" s="40">
        <v>0</v>
      </c>
    </row>
    <row r="1385" spans="1:11" x14ac:dyDescent="0.25">
      <c r="A1385" s="1">
        <v>2036286</v>
      </c>
      <c r="B1385" s="1" t="s">
        <v>1397</v>
      </c>
      <c r="D1385" s="2">
        <v>0</v>
      </c>
      <c r="E1385" s="2" t="s">
        <v>0</v>
      </c>
      <c r="G1385" s="1" t="s">
        <v>1969</v>
      </c>
      <c r="H1385" s="2">
        <v>1</v>
      </c>
      <c r="I1385" s="2">
        <v>42</v>
      </c>
      <c r="J1385" s="15">
        <v>10.61</v>
      </c>
      <c r="K1385" s="40">
        <v>0</v>
      </c>
    </row>
    <row r="1386" spans="1:11" x14ac:dyDescent="0.25">
      <c r="A1386" s="1">
        <v>2036287</v>
      </c>
      <c r="B1386" s="1" t="s">
        <v>1398</v>
      </c>
      <c r="D1386" s="2">
        <v>0</v>
      </c>
      <c r="E1386" s="2" t="s">
        <v>0</v>
      </c>
      <c r="G1386" s="1" t="s">
        <v>786</v>
      </c>
      <c r="H1386" s="2">
        <v>1</v>
      </c>
      <c r="I1386" s="2">
        <v>42</v>
      </c>
      <c r="J1386" s="15">
        <v>3.88</v>
      </c>
      <c r="K1386" s="40">
        <v>0</v>
      </c>
    </row>
    <row r="1387" spans="1:11" x14ac:dyDescent="0.25">
      <c r="A1387" s="1">
        <v>2036288</v>
      </c>
      <c r="B1387" s="1" t="s">
        <v>1399</v>
      </c>
      <c r="D1387" s="2">
        <v>0</v>
      </c>
      <c r="E1387" s="2" t="s">
        <v>0</v>
      </c>
      <c r="G1387" s="1" t="s">
        <v>1968</v>
      </c>
      <c r="H1387" s="2">
        <v>1</v>
      </c>
      <c r="J1387" s="15">
        <v>9.36</v>
      </c>
      <c r="K1387" s="40">
        <v>0</v>
      </c>
    </row>
    <row r="1388" spans="1:11" x14ac:dyDescent="0.25">
      <c r="A1388" s="1">
        <v>2036292</v>
      </c>
      <c r="B1388" s="1" t="s">
        <v>1400</v>
      </c>
      <c r="D1388" s="2">
        <v>0</v>
      </c>
      <c r="E1388" s="2" t="s">
        <v>0</v>
      </c>
      <c r="G1388" s="1" t="s">
        <v>1969</v>
      </c>
      <c r="H1388" s="2">
        <v>1</v>
      </c>
      <c r="I1388" s="2">
        <v>28</v>
      </c>
      <c r="J1388" s="15">
        <v>37.380000000000003</v>
      </c>
      <c r="K1388" s="40">
        <v>0</v>
      </c>
    </row>
    <row r="1389" spans="1:11" x14ac:dyDescent="0.25">
      <c r="A1389" s="1">
        <v>2036763</v>
      </c>
      <c r="B1389" s="1" t="s">
        <v>1401</v>
      </c>
      <c r="D1389" s="2">
        <v>0</v>
      </c>
      <c r="E1389" s="2" t="s">
        <v>0</v>
      </c>
      <c r="G1389" s="1" t="s">
        <v>1968</v>
      </c>
      <c r="H1389" s="2">
        <v>1</v>
      </c>
      <c r="J1389" s="15">
        <v>13.26</v>
      </c>
      <c r="K1389" s="40">
        <v>0</v>
      </c>
    </row>
    <row r="1390" spans="1:11" x14ac:dyDescent="0.25">
      <c r="A1390" s="1">
        <v>2036764</v>
      </c>
      <c r="B1390" s="1" t="s">
        <v>1402</v>
      </c>
      <c r="D1390" s="2">
        <v>0</v>
      </c>
      <c r="E1390" s="2" t="s">
        <v>0</v>
      </c>
      <c r="G1390" s="1" t="s">
        <v>1968</v>
      </c>
      <c r="H1390" s="2">
        <v>1</v>
      </c>
      <c r="J1390" s="15">
        <v>16.600000000000001</v>
      </c>
      <c r="K1390" s="40">
        <v>0</v>
      </c>
    </row>
    <row r="1391" spans="1:11" x14ac:dyDescent="0.25">
      <c r="A1391" s="1">
        <v>2044028</v>
      </c>
      <c r="B1391" s="1" t="s">
        <v>1403</v>
      </c>
      <c r="D1391" s="2">
        <v>0</v>
      </c>
      <c r="E1391" s="2" t="s">
        <v>0</v>
      </c>
      <c r="G1391" s="1" t="s">
        <v>786</v>
      </c>
      <c r="H1391" s="2">
        <v>1</v>
      </c>
      <c r="I1391" s="2">
        <v>28</v>
      </c>
      <c r="J1391" s="15">
        <v>12.95</v>
      </c>
      <c r="K1391" s="40">
        <v>0</v>
      </c>
    </row>
    <row r="1392" spans="1:11" x14ac:dyDescent="0.25">
      <c r="A1392" s="1">
        <v>2052111</v>
      </c>
      <c r="B1392" s="1" t="s">
        <v>1404</v>
      </c>
      <c r="D1392" s="2">
        <v>0</v>
      </c>
      <c r="E1392" s="2" t="s">
        <v>0</v>
      </c>
      <c r="G1392" s="1" t="s">
        <v>786</v>
      </c>
      <c r="H1392" s="2">
        <v>1</v>
      </c>
      <c r="I1392" s="2">
        <v>35</v>
      </c>
      <c r="J1392" s="15">
        <v>14.35</v>
      </c>
      <c r="K1392" s="40">
        <v>0</v>
      </c>
    </row>
    <row r="1393" spans="1:11" x14ac:dyDescent="0.25">
      <c r="A1393" s="1">
        <v>2094453</v>
      </c>
      <c r="B1393" s="1" t="s">
        <v>1405</v>
      </c>
      <c r="D1393" s="2">
        <v>0</v>
      </c>
      <c r="E1393" s="2" t="s">
        <v>0</v>
      </c>
      <c r="G1393" s="1" t="s">
        <v>1968</v>
      </c>
      <c r="H1393" s="2">
        <v>1</v>
      </c>
      <c r="J1393" s="15">
        <v>5.37</v>
      </c>
      <c r="K1393" s="40">
        <v>0</v>
      </c>
    </row>
    <row r="1394" spans="1:11" x14ac:dyDescent="0.25">
      <c r="A1394" s="1">
        <v>2096307</v>
      </c>
      <c r="B1394" s="1" t="s">
        <v>1406</v>
      </c>
      <c r="D1394" s="2">
        <v>0</v>
      </c>
      <c r="E1394" s="2" t="s">
        <v>0</v>
      </c>
      <c r="G1394" s="1" t="s">
        <v>1968</v>
      </c>
      <c r="H1394" s="2">
        <v>1</v>
      </c>
      <c r="J1394" s="15">
        <v>16.11</v>
      </c>
      <c r="K1394" s="40">
        <v>0</v>
      </c>
    </row>
    <row r="1395" spans="1:11" x14ac:dyDescent="0.25">
      <c r="A1395" s="1">
        <v>2096308</v>
      </c>
      <c r="B1395" s="1" t="s">
        <v>1407</v>
      </c>
      <c r="D1395" s="2">
        <v>0</v>
      </c>
      <c r="E1395" s="2" t="s">
        <v>0</v>
      </c>
      <c r="G1395" s="1" t="s">
        <v>1969</v>
      </c>
      <c r="H1395" s="2">
        <v>1</v>
      </c>
      <c r="I1395" s="2">
        <v>56</v>
      </c>
      <c r="J1395" s="15">
        <v>18.46</v>
      </c>
      <c r="K1395" s="40">
        <v>0</v>
      </c>
    </row>
    <row r="1396" spans="1:11" x14ac:dyDescent="0.25">
      <c r="A1396" s="1">
        <v>2119534</v>
      </c>
      <c r="B1396" s="1" t="s">
        <v>1408</v>
      </c>
      <c r="D1396" s="2">
        <v>0</v>
      </c>
      <c r="E1396" s="2" t="s">
        <v>0</v>
      </c>
      <c r="G1396" s="1" t="s">
        <v>1969</v>
      </c>
      <c r="H1396" s="2">
        <v>1</v>
      </c>
      <c r="I1396" s="2">
        <v>14</v>
      </c>
      <c r="J1396" s="15">
        <v>14.2</v>
      </c>
      <c r="K1396" s="40">
        <v>0</v>
      </c>
    </row>
    <row r="1397" spans="1:11" x14ac:dyDescent="0.25">
      <c r="A1397" s="1">
        <v>2119614</v>
      </c>
      <c r="B1397" s="1" t="s">
        <v>1409</v>
      </c>
      <c r="D1397" s="2">
        <v>0</v>
      </c>
      <c r="E1397" s="2" t="s">
        <v>0</v>
      </c>
      <c r="G1397" s="1" t="s">
        <v>1968</v>
      </c>
      <c r="H1397" s="2">
        <v>1</v>
      </c>
      <c r="J1397" s="15">
        <v>14.76</v>
      </c>
      <c r="K1397" s="40">
        <v>0</v>
      </c>
    </row>
    <row r="1398" spans="1:11" x14ac:dyDescent="0.25">
      <c r="A1398" s="1">
        <v>2122052</v>
      </c>
      <c r="B1398" s="1" t="s">
        <v>1410</v>
      </c>
      <c r="D1398" s="2">
        <v>0</v>
      </c>
      <c r="E1398" s="2" t="s">
        <v>0</v>
      </c>
      <c r="G1398" s="1" t="s">
        <v>1968</v>
      </c>
      <c r="H1398" s="2">
        <v>1</v>
      </c>
      <c r="J1398" s="15">
        <v>15.63</v>
      </c>
      <c r="K1398" s="40">
        <v>0</v>
      </c>
    </row>
    <row r="1399" spans="1:11" x14ac:dyDescent="0.25">
      <c r="A1399" s="1">
        <v>2128678</v>
      </c>
      <c r="B1399" s="1" t="s">
        <v>1411</v>
      </c>
      <c r="D1399" s="2">
        <v>0</v>
      </c>
      <c r="E1399" s="2" t="s">
        <v>0</v>
      </c>
      <c r="G1399" s="1" t="s">
        <v>786</v>
      </c>
      <c r="H1399" s="2">
        <v>1</v>
      </c>
      <c r="J1399" s="15">
        <v>1165.58</v>
      </c>
      <c r="K1399" s="40">
        <v>0</v>
      </c>
    </row>
    <row r="1400" spans="1:11" x14ac:dyDescent="0.25">
      <c r="A1400" s="1">
        <v>2128679</v>
      </c>
      <c r="B1400" s="1" t="s">
        <v>1412</v>
      </c>
      <c r="D1400" s="2">
        <v>0</v>
      </c>
      <c r="E1400" s="2" t="s">
        <v>0</v>
      </c>
      <c r="G1400" s="1" t="s">
        <v>786</v>
      </c>
      <c r="H1400" s="2">
        <v>1</v>
      </c>
      <c r="K1400" s="40">
        <v>0</v>
      </c>
    </row>
    <row r="1401" spans="1:11" x14ac:dyDescent="0.25">
      <c r="A1401" s="1">
        <v>2128680</v>
      </c>
      <c r="B1401" s="1" t="s">
        <v>1413</v>
      </c>
      <c r="D1401" s="2">
        <v>0</v>
      </c>
      <c r="E1401" s="2" t="s">
        <v>0</v>
      </c>
      <c r="G1401" s="1" t="s">
        <v>1968</v>
      </c>
      <c r="H1401" s="2">
        <v>1</v>
      </c>
      <c r="J1401" s="15">
        <v>1545.75</v>
      </c>
      <c r="K1401" s="40">
        <v>0</v>
      </c>
    </row>
    <row r="1402" spans="1:11" x14ac:dyDescent="0.25">
      <c r="A1402" s="1">
        <v>2131911</v>
      </c>
      <c r="B1402" s="1" t="s">
        <v>1414</v>
      </c>
      <c r="D1402" s="2">
        <v>0</v>
      </c>
      <c r="E1402" s="2" t="s">
        <v>0</v>
      </c>
      <c r="G1402" s="1" t="s">
        <v>1969</v>
      </c>
      <c r="H1402" s="2">
        <v>1</v>
      </c>
      <c r="I1402" s="2">
        <v>42</v>
      </c>
      <c r="J1402" s="15">
        <v>189.81</v>
      </c>
      <c r="K1402" s="40">
        <v>0</v>
      </c>
    </row>
    <row r="1403" spans="1:11" x14ac:dyDescent="0.25">
      <c r="A1403" s="1">
        <v>2133260</v>
      </c>
      <c r="B1403" s="1" t="s">
        <v>1415</v>
      </c>
      <c r="D1403" s="2">
        <v>0</v>
      </c>
      <c r="E1403" s="2" t="s">
        <v>0</v>
      </c>
      <c r="G1403" s="1" t="s">
        <v>786</v>
      </c>
      <c r="H1403" s="2">
        <v>1</v>
      </c>
      <c r="J1403" s="15">
        <v>525</v>
      </c>
      <c r="K1403" s="40">
        <v>0</v>
      </c>
    </row>
    <row r="1404" spans="1:11" x14ac:dyDescent="0.25">
      <c r="A1404" s="1">
        <v>2138949</v>
      </c>
      <c r="B1404" s="1" t="s">
        <v>1416</v>
      </c>
      <c r="D1404" s="2">
        <v>0</v>
      </c>
      <c r="E1404" s="2" t="s">
        <v>0</v>
      </c>
      <c r="G1404" s="1" t="s">
        <v>1969</v>
      </c>
      <c r="H1404" s="2">
        <v>1</v>
      </c>
      <c r="I1404" s="2">
        <v>21</v>
      </c>
      <c r="J1404" s="15">
        <v>1734.74</v>
      </c>
      <c r="K1404" s="40">
        <v>0</v>
      </c>
    </row>
    <row r="1405" spans="1:11" x14ac:dyDescent="0.25">
      <c r="A1405" s="1">
        <v>2138950</v>
      </c>
      <c r="B1405" s="1" t="s">
        <v>1417</v>
      </c>
      <c r="D1405" s="2">
        <v>0</v>
      </c>
      <c r="E1405" s="2" t="s">
        <v>0</v>
      </c>
      <c r="G1405" s="1" t="s">
        <v>1969</v>
      </c>
      <c r="H1405" s="2">
        <v>1</v>
      </c>
      <c r="I1405" s="2">
        <v>21</v>
      </c>
      <c r="J1405" s="15">
        <v>2755.4</v>
      </c>
      <c r="K1405" s="40">
        <v>0</v>
      </c>
    </row>
    <row r="1406" spans="1:11" x14ac:dyDescent="0.25">
      <c r="A1406" s="1">
        <v>2138952</v>
      </c>
      <c r="B1406" s="1" t="s">
        <v>1418</v>
      </c>
      <c r="D1406" s="2">
        <v>0</v>
      </c>
      <c r="E1406" s="2" t="s">
        <v>0</v>
      </c>
      <c r="G1406" s="1" t="s">
        <v>1968</v>
      </c>
      <c r="H1406" s="2">
        <v>1</v>
      </c>
      <c r="J1406" s="15">
        <v>1704.77</v>
      </c>
      <c r="K1406" s="40">
        <v>0</v>
      </c>
    </row>
    <row r="1407" spans="1:11" x14ac:dyDescent="0.25">
      <c r="A1407" s="1">
        <v>2138953</v>
      </c>
      <c r="B1407" s="1" t="s">
        <v>1419</v>
      </c>
      <c r="D1407" s="2">
        <v>0</v>
      </c>
      <c r="E1407" s="2" t="s">
        <v>0</v>
      </c>
      <c r="G1407" s="1" t="s">
        <v>1969</v>
      </c>
      <c r="H1407" s="2">
        <v>1</v>
      </c>
      <c r="I1407" s="2">
        <v>21</v>
      </c>
      <c r="J1407" s="15">
        <v>2734.83</v>
      </c>
      <c r="K1407" s="40">
        <v>0</v>
      </c>
    </row>
    <row r="1408" spans="1:11" x14ac:dyDescent="0.25">
      <c r="A1408" s="1">
        <v>2138955</v>
      </c>
      <c r="B1408" s="1" t="s">
        <v>1420</v>
      </c>
      <c r="D1408" s="2">
        <v>0</v>
      </c>
      <c r="E1408" s="2" t="s">
        <v>0</v>
      </c>
      <c r="G1408" s="1" t="s">
        <v>1968</v>
      </c>
      <c r="H1408" s="2">
        <v>1</v>
      </c>
      <c r="J1408" s="15">
        <v>476.58</v>
      </c>
      <c r="K1408" s="40">
        <v>0</v>
      </c>
    </row>
    <row r="1409" spans="1:11" x14ac:dyDescent="0.25">
      <c r="A1409" s="1">
        <v>2162971</v>
      </c>
      <c r="B1409" s="1" t="s">
        <v>1421</v>
      </c>
      <c r="D1409" s="2">
        <v>0</v>
      </c>
      <c r="E1409" s="2" t="s">
        <v>0</v>
      </c>
      <c r="G1409" s="1" t="s">
        <v>1968</v>
      </c>
      <c r="H1409" s="2">
        <v>1</v>
      </c>
      <c r="J1409" s="15">
        <v>248.41</v>
      </c>
      <c r="K1409" s="40">
        <v>0</v>
      </c>
    </row>
    <row r="1410" spans="1:11" x14ac:dyDescent="0.25">
      <c r="A1410" s="1">
        <v>2169168</v>
      </c>
      <c r="B1410" s="1" t="s">
        <v>1422</v>
      </c>
      <c r="D1410" s="2">
        <v>0</v>
      </c>
      <c r="E1410" s="2" t="s">
        <v>0</v>
      </c>
      <c r="G1410" s="1" t="s">
        <v>1968</v>
      </c>
      <c r="H1410" s="2">
        <v>1</v>
      </c>
      <c r="J1410" s="15">
        <v>792.45</v>
      </c>
      <c r="K1410" s="40">
        <v>0</v>
      </c>
    </row>
    <row r="1411" spans="1:11" x14ac:dyDescent="0.25">
      <c r="A1411" s="1">
        <v>2169169</v>
      </c>
      <c r="B1411" s="1" t="s">
        <v>1423</v>
      </c>
      <c r="D1411" s="2">
        <v>0</v>
      </c>
      <c r="E1411" s="2" t="s">
        <v>0</v>
      </c>
      <c r="G1411" s="1" t="s">
        <v>1968</v>
      </c>
      <c r="H1411" s="2">
        <v>1</v>
      </c>
      <c r="J1411" s="15">
        <v>1043.78</v>
      </c>
      <c r="K1411" s="40">
        <v>0</v>
      </c>
    </row>
    <row r="1412" spans="1:11" x14ac:dyDescent="0.25">
      <c r="A1412" s="1">
        <v>2169170</v>
      </c>
      <c r="B1412" s="1" t="s">
        <v>1424</v>
      </c>
      <c r="D1412" s="2">
        <v>0</v>
      </c>
      <c r="E1412" s="2" t="s">
        <v>0</v>
      </c>
      <c r="G1412" s="1" t="s">
        <v>1968</v>
      </c>
      <c r="H1412" s="2">
        <v>1</v>
      </c>
      <c r="J1412" s="15">
        <v>1355.73</v>
      </c>
      <c r="K1412" s="40">
        <v>0</v>
      </c>
    </row>
    <row r="1413" spans="1:11" x14ac:dyDescent="0.25">
      <c r="A1413" s="1">
        <v>2169171</v>
      </c>
      <c r="B1413" s="1" t="s">
        <v>1425</v>
      </c>
      <c r="D1413" s="2">
        <v>0</v>
      </c>
      <c r="E1413" s="2" t="s">
        <v>0</v>
      </c>
      <c r="G1413" s="1" t="s">
        <v>1968</v>
      </c>
      <c r="H1413" s="2">
        <v>1</v>
      </c>
      <c r="J1413" s="15">
        <v>1845.09</v>
      </c>
      <c r="K1413" s="40">
        <v>0</v>
      </c>
    </row>
    <row r="1414" spans="1:11" x14ac:dyDescent="0.25">
      <c r="A1414" s="1">
        <v>2172287</v>
      </c>
      <c r="B1414" s="1" t="s">
        <v>1426</v>
      </c>
      <c r="D1414" s="2">
        <v>0</v>
      </c>
      <c r="E1414" s="2" t="s">
        <v>0</v>
      </c>
      <c r="G1414" s="1" t="s">
        <v>1968</v>
      </c>
      <c r="H1414" s="2">
        <v>1</v>
      </c>
      <c r="J1414" s="15">
        <v>1067.73</v>
      </c>
      <c r="K1414" s="40">
        <v>0</v>
      </c>
    </row>
    <row r="1415" spans="1:11" x14ac:dyDescent="0.25">
      <c r="A1415" s="1">
        <v>2176671</v>
      </c>
      <c r="B1415" s="1" t="s">
        <v>1427</v>
      </c>
      <c r="D1415" s="2">
        <v>0</v>
      </c>
      <c r="E1415" s="2" t="s">
        <v>0</v>
      </c>
      <c r="G1415" s="1" t="s">
        <v>1969</v>
      </c>
      <c r="H1415" s="2">
        <v>1</v>
      </c>
      <c r="I1415" s="2">
        <v>14</v>
      </c>
      <c r="J1415" s="15">
        <v>160.94999999999999</v>
      </c>
      <c r="K1415" s="40">
        <v>0</v>
      </c>
    </row>
    <row r="1416" spans="1:11" x14ac:dyDescent="0.25">
      <c r="A1416" s="1">
        <v>2189319</v>
      </c>
      <c r="B1416" s="1" t="s">
        <v>1428</v>
      </c>
      <c r="D1416" s="2">
        <v>0</v>
      </c>
      <c r="E1416" s="2" t="s">
        <v>0</v>
      </c>
      <c r="G1416" s="1" t="s">
        <v>1969</v>
      </c>
      <c r="H1416" s="2">
        <v>1</v>
      </c>
      <c r="I1416" s="2">
        <v>14</v>
      </c>
      <c r="J1416" s="15">
        <v>715.95</v>
      </c>
      <c r="K1416" s="40">
        <v>0</v>
      </c>
    </row>
    <row r="1417" spans="1:11" x14ac:dyDescent="0.25">
      <c r="A1417" s="1">
        <v>2190773</v>
      </c>
      <c r="B1417" s="1" t="s">
        <v>1429</v>
      </c>
      <c r="D1417" s="2">
        <v>0</v>
      </c>
      <c r="E1417" s="2" t="s">
        <v>54</v>
      </c>
      <c r="G1417" s="1" t="s">
        <v>1968</v>
      </c>
      <c r="H1417" s="2">
        <v>1</v>
      </c>
      <c r="J1417" s="15">
        <v>11.27</v>
      </c>
      <c r="K1417" s="40">
        <v>0</v>
      </c>
    </row>
    <row r="1418" spans="1:11" x14ac:dyDescent="0.25">
      <c r="A1418" s="1">
        <v>2202811</v>
      </c>
      <c r="B1418" s="1" t="s">
        <v>1430</v>
      </c>
      <c r="D1418" s="2">
        <v>0</v>
      </c>
      <c r="E1418" s="2" t="s">
        <v>56</v>
      </c>
      <c r="G1418" s="1" t="s">
        <v>1968</v>
      </c>
      <c r="H1418" s="2">
        <v>1</v>
      </c>
      <c r="J1418" s="15">
        <v>9.84</v>
      </c>
      <c r="K1418" s="40">
        <v>0</v>
      </c>
    </row>
    <row r="1419" spans="1:11" x14ac:dyDescent="0.25">
      <c r="A1419" s="1">
        <v>2202814</v>
      </c>
      <c r="B1419" s="1" t="s">
        <v>1431</v>
      </c>
      <c r="D1419" s="2">
        <v>0</v>
      </c>
      <c r="E1419" s="2" t="s">
        <v>56</v>
      </c>
      <c r="G1419" s="1" t="s">
        <v>786</v>
      </c>
      <c r="H1419" s="2">
        <v>1</v>
      </c>
      <c r="I1419" s="2">
        <v>21</v>
      </c>
      <c r="J1419" s="15">
        <v>23.73</v>
      </c>
      <c r="K1419" s="40">
        <v>0</v>
      </c>
    </row>
    <row r="1420" spans="1:11" x14ac:dyDescent="0.25">
      <c r="A1420" s="1">
        <v>2204218</v>
      </c>
      <c r="B1420" s="1" t="s">
        <v>1432</v>
      </c>
      <c r="D1420" s="2">
        <v>0</v>
      </c>
      <c r="E1420" s="2" t="s">
        <v>56</v>
      </c>
      <c r="G1420" s="1" t="s">
        <v>1969</v>
      </c>
      <c r="H1420" s="2">
        <v>1</v>
      </c>
      <c r="I1420" s="2">
        <v>7</v>
      </c>
      <c r="J1420" s="15">
        <v>1.75</v>
      </c>
      <c r="K1420" s="40">
        <v>0</v>
      </c>
    </row>
    <row r="1421" spans="1:11" x14ac:dyDescent="0.25">
      <c r="A1421" s="1">
        <v>2204222</v>
      </c>
      <c r="B1421" s="1" t="s">
        <v>1433</v>
      </c>
      <c r="D1421" s="2">
        <v>0</v>
      </c>
      <c r="E1421" s="2" t="s">
        <v>0</v>
      </c>
      <c r="G1421" s="1" t="s">
        <v>786</v>
      </c>
      <c r="H1421" s="2">
        <v>1</v>
      </c>
      <c r="I1421" s="2">
        <v>7</v>
      </c>
      <c r="J1421" s="15">
        <v>5.45</v>
      </c>
      <c r="K1421" s="40">
        <v>0</v>
      </c>
    </row>
    <row r="1422" spans="1:11" x14ac:dyDescent="0.25">
      <c r="A1422" s="1">
        <v>2204228</v>
      </c>
      <c r="B1422" s="1" t="s">
        <v>1434</v>
      </c>
      <c r="D1422" s="2">
        <v>0</v>
      </c>
      <c r="E1422" s="2" t="s">
        <v>0</v>
      </c>
      <c r="G1422" s="1" t="s">
        <v>786</v>
      </c>
      <c r="H1422" s="2">
        <v>1</v>
      </c>
      <c r="I1422" s="2">
        <v>7</v>
      </c>
      <c r="J1422" s="15">
        <v>0.28000000000000003</v>
      </c>
      <c r="K1422" s="40">
        <v>0</v>
      </c>
    </row>
    <row r="1423" spans="1:11" x14ac:dyDescent="0.25">
      <c r="A1423" s="1">
        <v>2205218</v>
      </c>
      <c r="B1423" s="1" t="s">
        <v>1435</v>
      </c>
      <c r="D1423" s="2">
        <v>0</v>
      </c>
      <c r="E1423" s="2" t="s">
        <v>56</v>
      </c>
      <c r="G1423" s="1" t="s">
        <v>786</v>
      </c>
      <c r="H1423" s="2">
        <v>1</v>
      </c>
      <c r="I1423" s="2">
        <v>7</v>
      </c>
      <c r="J1423" s="15">
        <v>1.75</v>
      </c>
      <c r="K1423" s="40">
        <v>0</v>
      </c>
    </row>
    <row r="1424" spans="1:11" x14ac:dyDescent="0.25">
      <c r="A1424" s="1">
        <v>2209666</v>
      </c>
      <c r="B1424" s="1" t="s">
        <v>1436</v>
      </c>
      <c r="D1424" s="2">
        <v>0</v>
      </c>
      <c r="E1424" s="2" t="s">
        <v>1899</v>
      </c>
      <c r="G1424" s="1" t="s">
        <v>1969</v>
      </c>
      <c r="H1424" s="2">
        <v>1</v>
      </c>
      <c r="I1424" s="2">
        <v>42</v>
      </c>
      <c r="J1424" s="15">
        <v>61.67</v>
      </c>
      <c r="K1424" s="40">
        <v>0</v>
      </c>
    </row>
    <row r="1425" spans="1:11" x14ac:dyDescent="0.25">
      <c r="A1425" s="1">
        <v>2209668</v>
      </c>
      <c r="B1425" s="1" t="s">
        <v>1437</v>
      </c>
      <c r="D1425" s="2">
        <v>0</v>
      </c>
      <c r="E1425" s="2" t="s">
        <v>426</v>
      </c>
      <c r="G1425" s="1" t="s">
        <v>1969</v>
      </c>
      <c r="H1425" s="2">
        <v>1</v>
      </c>
      <c r="I1425" s="2">
        <v>42</v>
      </c>
      <c r="J1425" s="15">
        <v>1207.43</v>
      </c>
      <c r="K1425" s="40">
        <v>0</v>
      </c>
    </row>
    <row r="1426" spans="1:11" x14ac:dyDescent="0.25">
      <c r="A1426" s="1">
        <v>2209670</v>
      </c>
      <c r="B1426" s="1" t="s">
        <v>1438</v>
      </c>
      <c r="D1426" s="2">
        <v>0</v>
      </c>
      <c r="E1426" s="2" t="s">
        <v>426</v>
      </c>
      <c r="G1426" s="1" t="s">
        <v>1969</v>
      </c>
      <c r="H1426" s="2">
        <v>1</v>
      </c>
      <c r="I1426" s="2">
        <v>42</v>
      </c>
      <c r="J1426" s="15">
        <v>330.73</v>
      </c>
      <c r="K1426" s="40">
        <v>0</v>
      </c>
    </row>
    <row r="1427" spans="1:11" x14ac:dyDescent="0.25">
      <c r="A1427" s="1">
        <v>2209674</v>
      </c>
      <c r="B1427" s="1" t="s">
        <v>1439</v>
      </c>
      <c r="D1427" s="2">
        <v>0</v>
      </c>
      <c r="E1427" s="2" t="s">
        <v>426</v>
      </c>
      <c r="G1427" s="1" t="s">
        <v>1969</v>
      </c>
      <c r="H1427" s="2">
        <v>1</v>
      </c>
      <c r="I1427" s="2">
        <v>42</v>
      </c>
      <c r="J1427" s="15">
        <v>674.91</v>
      </c>
      <c r="K1427" s="40">
        <v>0</v>
      </c>
    </row>
    <row r="1428" spans="1:11" x14ac:dyDescent="0.25">
      <c r="A1428" s="1">
        <v>2210546</v>
      </c>
      <c r="B1428" s="1" t="s">
        <v>1440</v>
      </c>
      <c r="D1428" s="2">
        <v>0</v>
      </c>
      <c r="E1428" s="2" t="s">
        <v>0</v>
      </c>
      <c r="G1428" s="1" t="s">
        <v>786</v>
      </c>
      <c r="H1428" s="2">
        <v>1</v>
      </c>
      <c r="I1428" s="2">
        <v>7</v>
      </c>
      <c r="J1428" s="15">
        <v>0.11</v>
      </c>
      <c r="K1428" s="40">
        <v>0</v>
      </c>
    </row>
    <row r="1429" spans="1:11" x14ac:dyDescent="0.25">
      <c r="A1429" s="1">
        <v>2210650</v>
      </c>
      <c r="B1429" s="1" t="s">
        <v>1441</v>
      </c>
      <c r="D1429" s="2">
        <v>0</v>
      </c>
      <c r="E1429" s="2" t="s">
        <v>56</v>
      </c>
      <c r="G1429" s="1" t="s">
        <v>786</v>
      </c>
      <c r="H1429" s="2">
        <v>1</v>
      </c>
      <c r="I1429" s="2">
        <v>7</v>
      </c>
      <c r="J1429" s="15">
        <v>17.55</v>
      </c>
      <c r="K1429" s="40">
        <v>0</v>
      </c>
    </row>
    <row r="1430" spans="1:11" x14ac:dyDescent="0.25">
      <c r="A1430" s="1">
        <v>2210654</v>
      </c>
      <c r="B1430" s="1" t="s">
        <v>1442</v>
      </c>
      <c r="D1430" s="2">
        <v>0</v>
      </c>
      <c r="E1430" s="2" t="s">
        <v>0</v>
      </c>
      <c r="G1430" s="1" t="s">
        <v>1968</v>
      </c>
      <c r="H1430" s="2">
        <v>1</v>
      </c>
      <c r="J1430" s="15">
        <v>0.24</v>
      </c>
      <c r="K1430" s="40">
        <v>0</v>
      </c>
    </row>
    <row r="1431" spans="1:11" x14ac:dyDescent="0.25">
      <c r="A1431" s="1">
        <v>2211360</v>
      </c>
      <c r="B1431" s="1" t="s">
        <v>1443</v>
      </c>
      <c r="D1431" s="2">
        <v>0</v>
      </c>
      <c r="E1431" s="2" t="s">
        <v>0</v>
      </c>
      <c r="G1431" s="1" t="s">
        <v>1969</v>
      </c>
      <c r="H1431" s="2">
        <v>1</v>
      </c>
      <c r="I1431" s="2">
        <v>7</v>
      </c>
      <c r="J1431" s="15">
        <v>1.4</v>
      </c>
      <c r="K1431" s="40">
        <v>0</v>
      </c>
    </row>
    <row r="1432" spans="1:11" x14ac:dyDescent="0.25">
      <c r="A1432" s="1">
        <v>2211460</v>
      </c>
      <c r="B1432" s="1" t="s">
        <v>1444</v>
      </c>
      <c r="D1432" s="2">
        <v>0</v>
      </c>
      <c r="E1432" s="2" t="s">
        <v>0</v>
      </c>
      <c r="G1432" s="1" t="s">
        <v>786</v>
      </c>
      <c r="H1432" s="2">
        <v>1</v>
      </c>
      <c r="I1432" s="2">
        <v>7</v>
      </c>
      <c r="J1432" s="15">
        <v>3.41</v>
      </c>
      <c r="K1432" s="40">
        <v>0</v>
      </c>
    </row>
    <row r="1433" spans="1:11" x14ac:dyDescent="0.25">
      <c r="A1433" s="1">
        <v>2214582</v>
      </c>
      <c r="B1433" s="1" t="s">
        <v>1445</v>
      </c>
      <c r="D1433" s="2">
        <v>0</v>
      </c>
      <c r="E1433" s="2" t="s">
        <v>0</v>
      </c>
      <c r="G1433" s="1" t="s">
        <v>1969</v>
      </c>
      <c r="H1433" s="2">
        <v>1</v>
      </c>
      <c r="I1433" s="2">
        <v>28</v>
      </c>
      <c r="J1433" s="15">
        <v>6.71</v>
      </c>
      <c r="K1433" s="40">
        <v>0</v>
      </c>
    </row>
    <row r="1434" spans="1:11" x14ac:dyDescent="0.25">
      <c r="A1434" s="1">
        <v>2217199</v>
      </c>
      <c r="B1434" s="1" t="s">
        <v>1446</v>
      </c>
      <c r="D1434" s="2">
        <v>0</v>
      </c>
      <c r="E1434" s="2" t="s">
        <v>0</v>
      </c>
      <c r="G1434" s="1" t="s">
        <v>1968</v>
      </c>
      <c r="H1434" s="2">
        <v>1</v>
      </c>
      <c r="J1434" s="15">
        <v>4.97</v>
      </c>
      <c r="K1434" s="40">
        <v>0</v>
      </c>
    </row>
    <row r="1435" spans="1:11" x14ac:dyDescent="0.25">
      <c r="A1435" s="1">
        <v>2218521</v>
      </c>
      <c r="B1435" s="1" t="s">
        <v>1447</v>
      </c>
      <c r="D1435" s="2">
        <v>0</v>
      </c>
      <c r="E1435" s="2" t="s">
        <v>1901</v>
      </c>
      <c r="G1435" s="1" t="s">
        <v>1968</v>
      </c>
      <c r="H1435" s="2">
        <v>1</v>
      </c>
      <c r="J1435" s="15">
        <v>1.53</v>
      </c>
      <c r="K1435" s="40">
        <v>0</v>
      </c>
    </row>
    <row r="1436" spans="1:11" x14ac:dyDescent="0.25">
      <c r="A1436" s="1">
        <v>2218531</v>
      </c>
      <c r="B1436" s="1" t="s">
        <v>1448</v>
      </c>
      <c r="D1436" s="2">
        <v>0</v>
      </c>
      <c r="E1436" s="2" t="s">
        <v>1901</v>
      </c>
      <c r="G1436" s="1" t="s">
        <v>1968</v>
      </c>
      <c r="H1436" s="2">
        <v>1</v>
      </c>
      <c r="J1436" s="15">
        <v>4.55</v>
      </c>
      <c r="K1436" s="40">
        <v>0</v>
      </c>
    </row>
    <row r="1437" spans="1:11" x14ac:dyDescent="0.25">
      <c r="A1437" s="1">
        <v>2219124</v>
      </c>
      <c r="B1437" s="1" t="s">
        <v>1449</v>
      </c>
      <c r="D1437" s="2">
        <v>0</v>
      </c>
      <c r="E1437" s="2" t="s">
        <v>0</v>
      </c>
      <c r="G1437" s="1" t="s">
        <v>786</v>
      </c>
      <c r="H1437" s="2">
        <v>1</v>
      </c>
      <c r="J1437" s="15">
        <v>0.69</v>
      </c>
      <c r="K1437" s="40">
        <v>0</v>
      </c>
    </row>
    <row r="1438" spans="1:11" x14ac:dyDescent="0.25">
      <c r="A1438" s="1">
        <v>2219164</v>
      </c>
      <c r="B1438" s="1" t="s">
        <v>1450</v>
      </c>
      <c r="D1438" s="2">
        <v>0</v>
      </c>
      <c r="E1438" s="2" t="s">
        <v>0</v>
      </c>
      <c r="G1438" s="1" t="s">
        <v>1969</v>
      </c>
      <c r="H1438" s="2">
        <v>1</v>
      </c>
      <c r="I1438" s="2">
        <v>14</v>
      </c>
      <c r="J1438" s="15">
        <v>1.21</v>
      </c>
      <c r="K1438" s="40">
        <v>0</v>
      </c>
    </row>
    <row r="1439" spans="1:11" x14ac:dyDescent="0.25">
      <c r="A1439" s="1">
        <v>2219165</v>
      </c>
      <c r="B1439" s="1" t="s">
        <v>1451</v>
      </c>
      <c r="D1439" s="2">
        <v>0</v>
      </c>
      <c r="E1439" s="2" t="s">
        <v>0</v>
      </c>
      <c r="G1439" s="1" t="s">
        <v>1969</v>
      </c>
      <c r="H1439" s="2">
        <v>1</v>
      </c>
      <c r="I1439" s="2">
        <v>14</v>
      </c>
      <c r="J1439" s="15">
        <v>3.58</v>
      </c>
      <c r="K1439" s="40">
        <v>0</v>
      </c>
    </row>
    <row r="1440" spans="1:11" x14ac:dyDescent="0.25">
      <c r="A1440" s="1">
        <v>2224581</v>
      </c>
      <c r="B1440" s="1" t="s">
        <v>1452</v>
      </c>
      <c r="D1440" s="2">
        <v>0</v>
      </c>
      <c r="E1440" s="2" t="s">
        <v>0</v>
      </c>
      <c r="G1440" s="1" t="s">
        <v>1968</v>
      </c>
      <c r="H1440" s="2">
        <v>1</v>
      </c>
      <c r="J1440" s="15">
        <v>321.36</v>
      </c>
      <c r="K1440" s="40">
        <v>0</v>
      </c>
    </row>
    <row r="1441" spans="1:11" x14ac:dyDescent="0.25">
      <c r="A1441" s="1">
        <v>2224582</v>
      </c>
      <c r="B1441" s="1" t="s">
        <v>1453</v>
      </c>
      <c r="D1441" s="2">
        <v>0</v>
      </c>
      <c r="E1441" s="2" t="s">
        <v>0</v>
      </c>
      <c r="G1441" s="1" t="s">
        <v>1969</v>
      </c>
      <c r="H1441" s="2">
        <v>1</v>
      </c>
      <c r="I1441" s="2">
        <v>42</v>
      </c>
      <c r="J1441" s="15">
        <v>43.66</v>
      </c>
      <c r="K1441" s="40">
        <v>0</v>
      </c>
    </row>
    <row r="1442" spans="1:11" x14ac:dyDescent="0.25">
      <c r="A1442" s="1">
        <v>2224583</v>
      </c>
      <c r="B1442" s="1" t="s">
        <v>1454</v>
      </c>
      <c r="D1442" s="2">
        <v>0</v>
      </c>
      <c r="E1442" s="2" t="s">
        <v>0</v>
      </c>
      <c r="G1442" s="1" t="s">
        <v>786</v>
      </c>
      <c r="H1442" s="2">
        <v>1</v>
      </c>
      <c r="I1442" s="2">
        <v>28</v>
      </c>
      <c r="J1442" s="15">
        <v>68.66</v>
      </c>
      <c r="K1442" s="40">
        <v>0</v>
      </c>
    </row>
    <row r="1443" spans="1:11" x14ac:dyDescent="0.25">
      <c r="A1443" s="1">
        <v>2231752</v>
      </c>
      <c r="B1443" s="1" t="s">
        <v>1455</v>
      </c>
      <c r="D1443" s="2">
        <v>0</v>
      </c>
      <c r="E1443" s="2" t="s">
        <v>0</v>
      </c>
      <c r="G1443" s="1" t="s">
        <v>786</v>
      </c>
      <c r="H1443" s="2">
        <v>1</v>
      </c>
      <c r="I1443" s="2">
        <v>7</v>
      </c>
      <c r="J1443" s="15">
        <v>9.69</v>
      </c>
      <c r="K1443" s="40">
        <v>0</v>
      </c>
    </row>
    <row r="1444" spans="1:11" x14ac:dyDescent="0.25">
      <c r="A1444" s="1">
        <v>2232438</v>
      </c>
      <c r="B1444" s="1" t="s">
        <v>1456</v>
      </c>
      <c r="D1444" s="2">
        <v>0</v>
      </c>
      <c r="E1444" s="2" t="s">
        <v>56</v>
      </c>
      <c r="G1444" s="1" t="s">
        <v>786</v>
      </c>
      <c r="H1444" s="2">
        <v>1</v>
      </c>
      <c r="K1444" s="40">
        <v>0</v>
      </c>
    </row>
    <row r="1445" spans="1:11" x14ac:dyDescent="0.25">
      <c r="A1445" s="1">
        <v>2232446</v>
      </c>
      <c r="B1445" s="1" t="s">
        <v>1457</v>
      </c>
      <c r="D1445" s="2">
        <v>0</v>
      </c>
      <c r="E1445" s="2" t="s">
        <v>56</v>
      </c>
      <c r="G1445" s="1" t="s">
        <v>786</v>
      </c>
      <c r="H1445" s="2">
        <v>1</v>
      </c>
      <c r="I1445" s="2">
        <v>7</v>
      </c>
      <c r="J1445" s="15">
        <v>1.69</v>
      </c>
      <c r="K1445" s="40">
        <v>0</v>
      </c>
    </row>
    <row r="1446" spans="1:11" x14ac:dyDescent="0.25">
      <c r="A1446" s="1">
        <v>2232447</v>
      </c>
      <c r="B1446" s="1" t="s">
        <v>1458</v>
      </c>
      <c r="D1446" s="2">
        <v>0</v>
      </c>
      <c r="E1446" s="2" t="s">
        <v>56</v>
      </c>
      <c r="G1446" s="1" t="s">
        <v>786</v>
      </c>
      <c r="H1446" s="2">
        <v>1</v>
      </c>
      <c r="I1446" s="2">
        <v>7</v>
      </c>
      <c r="J1446" s="15">
        <v>2.4700000000000002</v>
      </c>
      <c r="K1446" s="40">
        <v>0</v>
      </c>
    </row>
    <row r="1447" spans="1:11" x14ac:dyDescent="0.25">
      <c r="A1447" s="1">
        <v>2234667</v>
      </c>
      <c r="B1447" s="1" t="s">
        <v>1459</v>
      </c>
      <c r="D1447" s="2">
        <v>0</v>
      </c>
      <c r="E1447" s="2" t="s">
        <v>56</v>
      </c>
      <c r="G1447" s="1" t="s">
        <v>786</v>
      </c>
      <c r="H1447" s="2">
        <v>1</v>
      </c>
      <c r="I1447" s="2">
        <v>7</v>
      </c>
      <c r="J1447" s="15">
        <v>3.4</v>
      </c>
      <c r="K1447" s="40">
        <v>0</v>
      </c>
    </row>
    <row r="1448" spans="1:11" x14ac:dyDescent="0.25">
      <c r="A1448" s="1">
        <v>2234846</v>
      </c>
      <c r="B1448" s="1" t="s">
        <v>1460</v>
      </c>
      <c r="D1448" s="2">
        <v>0</v>
      </c>
      <c r="E1448" s="2" t="s">
        <v>56</v>
      </c>
      <c r="G1448" s="1" t="s">
        <v>786</v>
      </c>
      <c r="H1448" s="2">
        <v>1</v>
      </c>
      <c r="I1448" s="2">
        <v>7</v>
      </c>
      <c r="J1448" s="15">
        <v>2.4500000000000002</v>
      </c>
      <c r="K1448" s="40">
        <v>0</v>
      </c>
    </row>
    <row r="1449" spans="1:11" x14ac:dyDescent="0.25">
      <c r="A1449" s="1">
        <v>2234859</v>
      </c>
      <c r="B1449" s="1" t="s">
        <v>1461</v>
      </c>
      <c r="D1449" s="2">
        <v>0</v>
      </c>
      <c r="E1449" s="2" t="s">
        <v>56</v>
      </c>
      <c r="G1449" s="1" t="s">
        <v>786</v>
      </c>
      <c r="H1449" s="2">
        <v>1</v>
      </c>
      <c r="I1449" s="2">
        <v>7</v>
      </c>
      <c r="J1449" s="15">
        <v>2.72</v>
      </c>
      <c r="K1449" s="40">
        <v>0</v>
      </c>
    </row>
    <row r="1450" spans="1:11" x14ac:dyDescent="0.25">
      <c r="A1450" s="1">
        <v>2234863</v>
      </c>
      <c r="B1450" s="1" t="s">
        <v>1462</v>
      </c>
      <c r="D1450" s="2">
        <v>0</v>
      </c>
      <c r="E1450" s="2" t="s">
        <v>56</v>
      </c>
      <c r="G1450" s="1" t="s">
        <v>786</v>
      </c>
      <c r="H1450" s="2">
        <v>1</v>
      </c>
      <c r="I1450" s="2">
        <v>7</v>
      </c>
      <c r="J1450" s="15">
        <v>2.59</v>
      </c>
      <c r="K1450" s="40">
        <v>0</v>
      </c>
    </row>
    <row r="1451" spans="1:11" x14ac:dyDescent="0.25">
      <c r="A1451" s="1">
        <v>2234882</v>
      </c>
      <c r="B1451" s="1" t="s">
        <v>1463</v>
      </c>
      <c r="D1451" s="2">
        <v>0</v>
      </c>
      <c r="E1451" s="2" t="s">
        <v>56</v>
      </c>
      <c r="G1451" s="1" t="s">
        <v>786</v>
      </c>
      <c r="H1451" s="2">
        <v>1</v>
      </c>
      <c r="I1451" s="2">
        <v>7</v>
      </c>
      <c r="J1451" s="15">
        <v>5.87</v>
      </c>
      <c r="K1451" s="40">
        <v>0</v>
      </c>
    </row>
    <row r="1452" spans="1:11" x14ac:dyDescent="0.25">
      <c r="A1452" s="1">
        <v>2234890</v>
      </c>
      <c r="B1452" s="1" t="s">
        <v>1464</v>
      </c>
      <c r="D1452" s="2">
        <v>0</v>
      </c>
      <c r="E1452" s="2" t="s">
        <v>0</v>
      </c>
      <c r="G1452" s="1" t="s">
        <v>786</v>
      </c>
      <c r="H1452" s="2">
        <v>1</v>
      </c>
      <c r="I1452" s="2">
        <v>7</v>
      </c>
      <c r="K1452" s="40">
        <v>0</v>
      </c>
    </row>
    <row r="1453" spans="1:11" x14ac:dyDescent="0.25">
      <c r="A1453" s="1">
        <v>2234946</v>
      </c>
      <c r="B1453" s="1" t="s">
        <v>1465</v>
      </c>
      <c r="D1453" s="2">
        <v>0</v>
      </c>
      <c r="E1453" s="2" t="s">
        <v>56</v>
      </c>
      <c r="G1453" s="1" t="s">
        <v>786</v>
      </c>
      <c r="H1453" s="2">
        <v>1</v>
      </c>
      <c r="I1453" s="2">
        <v>7</v>
      </c>
      <c r="J1453" s="15">
        <v>3.53</v>
      </c>
      <c r="K1453" s="40">
        <v>0</v>
      </c>
    </row>
    <row r="1454" spans="1:11" x14ac:dyDescent="0.25">
      <c r="A1454" s="1">
        <v>2235063</v>
      </c>
      <c r="B1454" s="1" t="s">
        <v>1466</v>
      </c>
      <c r="D1454" s="2">
        <v>0</v>
      </c>
      <c r="E1454" s="2" t="s">
        <v>56</v>
      </c>
      <c r="G1454" s="1" t="s">
        <v>786</v>
      </c>
      <c r="H1454" s="2">
        <v>1</v>
      </c>
      <c r="I1454" s="2">
        <v>7</v>
      </c>
      <c r="J1454" s="15">
        <v>5.37</v>
      </c>
      <c r="K1454" s="40">
        <v>0</v>
      </c>
    </row>
    <row r="1455" spans="1:11" x14ac:dyDescent="0.25">
      <c r="A1455" s="1">
        <v>2235071</v>
      </c>
      <c r="B1455" s="1" t="s">
        <v>1467</v>
      </c>
      <c r="D1455" s="2">
        <v>0</v>
      </c>
      <c r="E1455" s="2" t="s">
        <v>56</v>
      </c>
      <c r="G1455" s="1" t="s">
        <v>786</v>
      </c>
      <c r="H1455" s="2">
        <v>1</v>
      </c>
      <c r="I1455" s="2">
        <v>14</v>
      </c>
      <c r="J1455" s="15">
        <v>7.7</v>
      </c>
      <c r="K1455" s="40">
        <v>0</v>
      </c>
    </row>
    <row r="1456" spans="1:11" x14ac:dyDescent="0.25">
      <c r="A1456" s="1">
        <v>2235090</v>
      </c>
      <c r="B1456" s="1" t="s">
        <v>1468</v>
      </c>
      <c r="D1456" s="2">
        <v>0</v>
      </c>
      <c r="E1456" s="2" t="s">
        <v>56</v>
      </c>
      <c r="G1456" s="1" t="s">
        <v>786</v>
      </c>
      <c r="H1456" s="2">
        <v>1</v>
      </c>
      <c r="I1456" s="2">
        <v>7</v>
      </c>
      <c r="J1456" s="15">
        <v>10.7</v>
      </c>
      <c r="K1456" s="40">
        <v>0</v>
      </c>
    </row>
    <row r="1457" spans="1:11" x14ac:dyDescent="0.25">
      <c r="A1457" s="1">
        <v>2243026</v>
      </c>
      <c r="D1457" s="2">
        <v>0</v>
      </c>
      <c r="E1457" s="2" t="s">
        <v>0</v>
      </c>
      <c r="G1457" s="1" t="s">
        <v>1969</v>
      </c>
      <c r="H1457" s="2">
        <v>100</v>
      </c>
      <c r="I1457" s="2">
        <v>21</v>
      </c>
      <c r="J1457" s="15">
        <v>0.09</v>
      </c>
      <c r="K1457" s="40">
        <v>0</v>
      </c>
    </row>
    <row r="1458" spans="1:11" x14ac:dyDescent="0.25">
      <c r="A1458" s="1">
        <v>2243030</v>
      </c>
      <c r="B1458" s="1" t="s">
        <v>1469</v>
      </c>
      <c r="D1458" s="2">
        <v>0</v>
      </c>
      <c r="E1458" s="2" t="s">
        <v>0</v>
      </c>
      <c r="G1458" s="1" t="s">
        <v>786</v>
      </c>
      <c r="H1458" s="2">
        <v>1</v>
      </c>
      <c r="I1458" s="2">
        <v>14</v>
      </c>
      <c r="J1458" s="15">
        <v>0.12</v>
      </c>
      <c r="K1458" s="40">
        <v>0</v>
      </c>
    </row>
    <row r="1459" spans="1:11" x14ac:dyDescent="0.25">
      <c r="A1459" s="1">
        <v>2243043</v>
      </c>
      <c r="B1459" s="1" t="s">
        <v>1470</v>
      </c>
      <c r="D1459" s="2">
        <v>0</v>
      </c>
      <c r="E1459" s="2" t="s">
        <v>0</v>
      </c>
      <c r="G1459" s="1" t="s">
        <v>786</v>
      </c>
      <c r="H1459" s="2">
        <v>1</v>
      </c>
      <c r="I1459" s="2">
        <v>14</v>
      </c>
      <c r="J1459" s="15">
        <v>4.74</v>
      </c>
      <c r="K1459" s="40">
        <v>0</v>
      </c>
    </row>
    <row r="1460" spans="1:11" x14ac:dyDescent="0.25">
      <c r="A1460" s="1">
        <v>2243054</v>
      </c>
      <c r="B1460" s="1" t="s">
        <v>1471</v>
      </c>
      <c r="D1460" s="2">
        <v>0</v>
      </c>
      <c r="E1460" s="2" t="s">
        <v>0</v>
      </c>
      <c r="G1460" s="1" t="s">
        <v>786</v>
      </c>
      <c r="H1460" s="2">
        <v>1</v>
      </c>
      <c r="I1460" s="2">
        <v>14</v>
      </c>
      <c r="J1460" s="15">
        <v>1.77</v>
      </c>
      <c r="K1460" s="40">
        <v>0</v>
      </c>
    </row>
    <row r="1461" spans="1:11" x14ac:dyDescent="0.25">
      <c r="A1461" s="1">
        <v>2243122</v>
      </c>
      <c r="B1461" s="1" t="s">
        <v>1472</v>
      </c>
      <c r="D1461" s="2">
        <v>0</v>
      </c>
      <c r="E1461" s="2" t="s">
        <v>131</v>
      </c>
      <c r="G1461" s="1" t="s">
        <v>1969</v>
      </c>
      <c r="H1461" s="2">
        <v>1</v>
      </c>
      <c r="I1461" s="2">
        <v>14</v>
      </c>
      <c r="J1461" s="15">
        <v>20.71</v>
      </c>
      <c r="K1461" s="40">
        <v>0</v>
      </c>
    </row>
    <row r="1462" spans="1:11" x14ac:dyDescent="0.25">
      <c r="A1462" s="1">
        <v>2243338</v>
      </c>
      <c r="B1462" s="1" t="s">
        <v>1473</v>
      </c>
      <c r="D1462" s="2">
        <v>0</v>
      </c>
      <c r="E1462" s="2" t="s">
        <v>0</v>
      </c>
      <c r="G1462" s="1" t="s">
        <v>1969</v>
      </c>
      <c r="H1462" s="2">
        <v>100</v>
      </c>
      <c r="I1462" s="2">
        <v>7</v>
      </c>
      <c r="J1462" s="15">
        <v>0.54</v>
      </c>
      <c r="K1462" s="40">
        <v>0</v>
      </c>
    </row>
    <row r="1463" spans="1:11" x14ac:dyDescent="0.25">
      <c r="A1463" s="1">
        <v>2243517</v>
      </c>
      <c r="B1463" s="1" t="s">
        <v>1474</v>
      </c>
      <c r="D1463" s="2">
        <v>0</v>
      </c>
      <c r="E1463" s="2" t="s">
        <v>0</v>
      </c>
      <c r="G1463" s="1" t="s">
        <v>1968</v>
      </c>
      <c r="H1463" s="2">
        <v>1</v>
      </c>
      <c r="J1463" s="15">
        <v>0.49</v>
      </c>
      <c r="K1463" s="40">
        <v>0</v>
      </c>
    </row>
    <row r="1464" spans="1:11" x14ac:dyDescent="0.25">
      <c r="A1464" s="1">
        <v>2243518</v>
      </c>
      <c r="B1464" s="1" t="s">
        <v>1475</v>
      </c>
      <c r="D1464" s="2">
        <v>0</v>
      </c>
      <c r="E1464" s="2" t="s">
        <v>0</v>
      </c>
      <c r="G1464" s="1" t="s">
        <v>1969</v>
      </c>
      <c r="H1464" s="2">
        <v>1</v>
      </c>
      <c r="I1464" s="2">
        <v>21</v>
      </c>
      <c r="J1464" s="15">
        <v>58.87</v>
      </c>
      <c r="K1464" s="40">
        <v>0</v>
      </c>
    </row>
    <row r="1465" spans="1:11" x14ac:dyDescent="0.25">
      <c r="A1465" s="1">
        <v>2243580</v>
      </c>
      <c r="B1465" s="1" t="s">
        <v>1476</v>
      </c>
      <c r="D1465" s="2">
        <v>0</v>
      </c>
      <c r="E1465" s="2" t="s">
        <v>54</v>
      </c>
      <c r="G1465" s="1" t="s">
        <v>1969</v>
      </c>
      <c r="H1465" s="2">
        <v>1</v>
      </c>
      <c r="I1465" s="2">
        <v>49</v>
      </c>
      <c r="J1465" s="15">
        <v>40.840000000000003</v>
      </c>
      <c r="K1465" s="40">
        <v>0</v>
      </c>
    </row>
    <row r="1466" spans="1:11" x14ac:dyDescent="0.25">
      <c r="A1466" s="1">
        <v>2243609</v>
      </c>
      <c r="B1466" s="1" t="s">
        <v>1477</v>
      </c>
      <c r="D1466" s="2">
        <v>0</v>
      </c>
      <c r="E1466" s="2" t="s">
        <v>56</v>
      </c>
      <c r="G1466" s="1" t="s">
        <v>1969</v>
      </c>
      <c r="H1466" s="2">
        <v>100</v>
      </c>
      <c r="I1466" s="2">
        <v>7</v>
      </c>
      <c r="J1466" s="15">
        <v>252.82</v>
      </c>
      <c r="K1466" s="40">
        <v>0</v>
      </c>
    </row>
    <row r="1467" spans="1:11" x14ac:dyDescent="0.25">
      <c r="A1467" s="1">
        <v>2243617</v>
      </c>
      <c r="B1467" s="1" t="s">
        <v>309</v>
      </c>
      <c r="D1467" s="2">
        <v>0</v>
      </c>
      <c r="E1467" s="2" t="s">
        <v>0</v>
      </c>
      <c r="G1467" s="1" t="s">
        <v>1968</v>
      </c>
      <c r="H1467" s="2">
        <v>1</v>
      </c>
      <c r="J1467" s="15">
        <v>7.16</v>
      </c>
      <c r="K1467" s="40">
        <v>0</v>
      </c>
    </row>
    <row r="1468" spans="1:11" x14ac:dyDescent="0.25">
      <c r="A1468" s="1">
        <v>2243848</v>
      </c>
      <c r="B1468" s="1" t="s">
        <v>1478</v>
      </c>
      <c r="D1468" s="2">
        <v>0</v>
      </c>
      <c r="E1468" s="2" t="s">
        <v>0</v>
      </c>
      <c r="G1468" s="1" t="s">
        <v>1968</v>
      </c>
      <c r="H1468" s="2">
        <v>1</v>
      </c>
      <c r="J1468" s="15">
        <v>1.71</v>
      </c>
      <c r="K1468" s="40">
        <v>0</v>
      </c>
    </row>
    <row r="1469" spans="1:11" x14ac:dyDescent="0.25">
      <c r="A1469" s="1">
        <v>2243866</v>
      </c>
      <c r="B1469" s="1" t="s">
        <v>1479</v>
      </c>
      <c r="D1469" s="2">
        <v>0</v>
      </c>
      <c r="E1469" s="2" t="s">
        <v>54</v>
      </c>
      <c r="G1469" s="1" t="s">
        <v>1968</v>
      </c>
      <c r="H1469" s="2">
        <v>1</v>
      </c>
      <c r="J1469" s="15">
        <v>7.33</v>
      </c>
      <c r="K1469" s="40">
        <v>0</v>
      </c>
    </row>
    <row r="1470" spans="1:11" x14ac:dyDescent="0.25">
      <c r="A1470" s="1">
        <v>2243905</v>
      </c>
      <c r="B1470" s="1" t="s">
        <v>1480</v>
      </c>
      <c r="D1470" s="2">
        <v>0</v>
      </c>
      <c r="E1470" s="2" t="s">
        <v>56</v>
      </c>
      <c r="G1470" s="1" t="s">
        <v>1969</v>
      </c>
      <c r="H1470" s="2">
        <v>1</v>
      </c>
      <c r="I1470" s="2">
        <v>21</v>
      </c>
      <c r="J1470" s="15">
        <v>17.670000000000002</v>
      </c>
      <c r="K1470" s="40">
        <v>0</v>
      </c>
    </row>
    <row r="1471" spans="1:11" x14ac:dyDescent="0.25">
      <c r="A1471" s="1">
        <v>2243910</v>
      </c>
      <c r="B1471" s="1" t="s">
        <v>1481</v>
      </c>
      <c r="D1471" s="2">
        <v>0</v>
      </c>
      <c r="E1471" s="2" t="s">
        <v>0</v>
      </c>
      <c r="G1471" s="1" t="s">
        <v>1968</v>
      </c>
      <c r="H1471" s="2">
        <v>50</v>
      </c>
      <c r="J1471" s="15">
        <v>0.09</v>
      </c>
      <c r="K1471" s="40">
        <v>0</v>
      </c>
    </row>
    <row r="1472" spans="1:11" x14ac:dyDescent="0.25">
      <c r="A1472" s="1">
        <v>2243962</v>
      </c>
      <c r="B1472" s="1" t="s">
        <v>1482</v>
      </c>
      <c r="D1472" s="2">
        <v>0</v>
      </c>
      <c r="E1472" s="2" t="s">
        <v>131</v>
      </c>
      <c r="G1472" s="1" t="s">
        <v>786</v>
      </c>
      <c r="H1472" s="2">
        <v>1</v>
      </c>
      <c r="J1472" s="15">
        <v>4.97</v>
      </c>
      <c r="K1472" s="40">
        <v>0</v>
      </c>
    </row>
    <row r="1473" spans="1:11" x14ac:dyDescent="0.25">
      <c r="A1473" s="1">
        <v>2243964</v>
      </c>
      <c r="B1473" s="1" t="s">
        <v>1483</v>
      </c>
      <c r="D1473" s="2">
        <v>0</v>
      </c>
      <c r="E1473" s="2" t="s">
        <v>131</v>
      </c>
      <c r="G1473" s="1" t="s">
        <v>786</v>
      </c>
      <c r="H1473" s="2">
        <v>1</v>
      </c>
      <c r="J1473" s="15">
        <v>6.07</v>
      </c>
      <c r="K1473" s="40">
        <v>0</v>
      </c>
    </row>
    <row r="1474" spans="1:11" x14ac:dyDescent="0.25">
      <c r="A1474" s="1">
        <v>2243965</v>
      </c>
      <c r="B1474" s="1" t="s">
        <v>1484</v>
      </c>
      <c r="D1474" s="2">
        <v>0</v>
      </c>
      <c r="E1474" s="2" t="s">
        <v>54</v>
      </c>
      <c r="G1474" s="1" t="s">
        <v>786</v>
      </c>
      <c r="H1474" s="2">
        <v>1</v>
      </c>
      <c r="J1474" s="15">
        <v>7.25</v>
      </c>
      <c r="K1474" s="40">
        <v>0</v>
      </c>
    </row>
    <row r="1475" spans="1:11" x14ac:dyDescent="0.25">
      <c r="A1475" s="1">
        <v>2243970</v>
      </c>
      <c r="B1475" s="1" t="s">
        <v>1485</v>
      </c>
      <c r="D1475" s="2">
        <v>0</v>
      </c>
      <c r="E1475" s="2" t="s">
        <v>131</v>
      </c>
      <c r="G1475" s="1" t="s">
        <v>1969</v>
      </c>
      <c r="H1475" s="2">
        <v>1</v>
      </c>
      <c r="I1475" s="2">
        <v>21</v>
      </c>
      <c r="J1475" s="15">
        <v>0.99</v>
      </c>
      <c r="K1475" s="40">
        <v>0</v>
      </c>
    </row>
    <row r="1476" spans="1:11" x14ac:dyDescent="0.25">
      <c r="A1476" s="1">
        <v>2244504</v>
      </c>
      <c r="B1476" s="1" t="s">
        <v>1486</v>
      </c>
      <c r="D1476" s="2">
        <v>0</v>
      </c>
      <c r="E1476" s="2" t="s">
        <v>0</v>
      </c>
      <c r="G1476" s="1" t="s">
        <v>2056</v>
      </c>
      <c r="H1476" s="2">
        <v>1</v>
      </c>
      <c r="I1476" s="2">
        <v>28</v>
      </c>
      <c r="J1476" s="15">
        <v>898.88</v>
      </c>
      <c r="K1476" s="40">
        <v>0</v>
      </c>
    </row>
    <row r="1477" spans="1:11" x14ac:dyDescent="0.25">
      <c r="A1477" s="1">
        <v>2247204</v>
      </c>
      <c r="B1477" s="1" t="s">
        <v>1487</v>
      </c>
      <c r="D1477" s="2">
        <v>0</v>
      </c>
      <c r="E1477" s="2" t="s">
        <v>0</v>
      </c>
      <c r="G1477" s="1" t="s">
        <v>1969</v>
      </c>
      <c r="H1477" s="2">
        <v>1</v>
      </c>
      <c r="I1477" s="2">
        <v>28</v>
      </c>
      <c r="J1477" s="15">
        <v>27.3</v>
      </c>
      <c r="K1477" s="40">
        <v>0</v>
      </c>
    </row>
    <row r="1478" spans="1:11" x14ac:dyDescent="0.25">
      <c r="A1478" s="1">
        <v>2247210</v>
      </c>
      <c r="B1478" s="1" t="s">
        <v>1488</v>
      </c>
      <c r="D1478" s="2">
        <v>0</v>
      </c>
      <c r="E1478" s="2" t="s">
        <v>0</v>
      </c>
      <c r="G1478" s="1" t="s">
        <v>1969</v>
      </c>
      <c r="H1478" s="2">
        <v>1</v>
      </c>
      <c r="I1478" s="2">
        <v>28</v>
      </c>
      <c r="J1478" s="15">
        <v>36.549999999999997</v>
      </c>
      <c r="K1478" s="40">
        <v>0</v>
      </c>
    </row>
    <row r="1479" spans="1:11" x14ac:dyDescent="0.25">
      <c r="A1479" s="1">
        <v>2248391</v>
      </c>
      <c r="B1479" s="1" t="s">
        <v>1489</v>
      </c>
      <c r="D1479" s="2">
        <v>0</v>
      </c>
      <c r="E1479" s="2" t="s">
        <v>0</v>
      </c>
      <c r="G1479" s="1" t="s">
        <v>786</v>
      </c>
      <c r="H1479" s="2">
        <v>1</v>
      </c>
      <c r="J1479" s="15">
        <v>61.36</v>
      </c>
      <c r="K1479" s="40">
        <v>0</v>
      </c>
    </row>
    <row r="1480" spans="1:11" x14ac:dyDescent="0.25">
      <c r="A1480" s="1">
        <v>2248392</v>
      </c>
      <c r="B1480" s="1" t="s">
        <v>1490</v>
      </c>
      <c r="D1480" s="2">
        <v>0</v>
      </c>
      <c r="E1480" s="2" t="s">
        <v>0</v>
      </c>
      <c r="G1480" s="1" t="s">
        <v>786</v>
      </c>
      <c r="H1480" s="2">
        <v>1</v>
      </c>
      <c r="J1480" s="15">
        <v>52.5</v>
      </c>
      <c r="K1480" s="40">
        <v>0</v>
      </c>
    </row>
    <row r="1481" spans="1:11" x14ac:dyDescent="0.25">
      <c r="A1481" s="1">
        <v>2250209</v>
      </c>
      <c r="B1481" s="1" t="s">
        <v>1491</v>
      </c>
      <c r="D1481" s="2">
        <v>0</v>
      </c>
      <c r="E1481" s="2" t="s">
        <v>0</v>
      </c>
      <c r="G1481" s="1" t="s">
        <v>1969</v>
      </c>
      <c r="H1481" s="2">
        <v>1</v>
      </c>
      <c r="I1481" s="2">
        <v>7</v>
      </c>
      <c r="J1481" s="15">
        <v>5.7</v>
      </c>
      <c r="K1481" s="40">
        <v>0</v>
      </c>
    </row>
    <row r="1482" spans="1:11" x14ac:dyDescent="0.25">
      <c r="A1482" s="1">
        <v>2250216</v>
      </c>
      <c r="B1482" s="1" t="s">
        <v>1492</v>
      </c>
      <c r="D1482" s="2">
        <v>0</v>
      </c>
      <c r="E1482" s="2" t="s">
        <v>0</v>
      </c>
      <c r="G1482" s="1" t="s">
        <v>1968</v>
      </c>
      <c r="H1482" s="2">
        <v>1</v>
      </c>
      <c r="J1482" s="15">
        <v>6.26</v>
      </c>
      <c r="K1482" s="40">
        <v>0</v>
      </c>
    </row>
    <row r="1483" spans="1:11" x14ac:dyDescent="0.25">
      <c r="A1483" s="1">
        <v>2250496</v>
      </c>
      <c r="B1483" s="1" t="s">
        <v>1493</v>
      </c>
      <c r="D1483" s="2">
        <v>0</v>
      </c>
      <c r="E1483" s="2" t="s">
        <v>131</v>
      </c>
      <c r="G1483" s="1" t="s">
        <v>1968</v>
      </c>
      <c r="H1483" s="2">
        <v>1</v>
      </c>
      <c r="J1483" s="15">
        <v>3.35</v>
      </c>
      <c r="K1483" s="40">
        <v>0</v>
      </c>
    </row>
    <row r="1484" spans="1:11" x14ac:dyDescent="0.25">
      <c r="A1484" s="1">
        <v>2250582</v>
      </c>
      <c r="B1484" s="1" t="s">
        <v>1494</v>
      </c>
      <c r="D1484" s="2">
        <v>0</v>
      </c>
      <c r="E1484" s="2" t="s">
        <v>0</v>
      </c>
      <c r="G1484" s="1" t="s">
        <v>1968</v>
      </c>
      <c r="H1484" s="2">
        <v>1</v>
      </c>
      <c r="J1484" s="15">
        <v>0.52</v>
      </c>
      <c r="K1484" s="40">
        <v>0</v>
      </c>
    </row>
    <row r="1485" spans="1:11" x14ac:dyDescent="0.25">
      <c r="A1485" s="1">
        <v>2252122</v>
      </c>
      <c r="B1485" s="1" t="s">
        <v>1495</v>
      </c>
      <c r="D1485" s="2">
        <v>0</v>
      </c>
      <c r="E1485" s="2" t="s">
        <v>0</v>
      </c>
      <c r="G1485" s="1" t="s">
        <v>1968</v>
      </c>
      <c r="H1485" s="2">
        <v>1</v>
      </c>
      <c r="J1485" s="15">
        <v>4.49</v>
      </c>
      <c r="K1485" s="40">
        <v>0</v>
      </c>
    </row>
    <row r="1486" spans="1:11" x14ac:dyDescent="0.25">
      <c r="A1486" s="1">
        <v>2253008</v>
      </c>
      <c r="B1486" s="1" t="s">
        <v>1496</v>
      </c>
      <c r="D1486" s="2">
        <v>0</v>
      </c>
      <c r="E1486" s="2" t="s">
        <v>0</v>
      </c>
      <c r="G1486" s="1" t="s">
        <v>1968</v>
      </c>
      <c r="H1486" s="2">
        <v>1</v>
      </c>
      <c r="J1486" s="15">
        <v>14.5</v>
      </c>
      <c r="K1486" s="40">
        <v>0</v>
      </c>
    </row>
    <row r="1487" spans="1:11" x14ac:dyDescent="0.25">
      <c r="A1487" s="1">
        <v>2253010</v>
      </c>
      <c r="B1487" s="1" t="s">
        <v>1497</v>
      </c>
      <c r="D1487" s="2">
        <v>0</v>
      </c>
      <c r="E1487" s="2" t="s">
        <v>0</v>
      </c>
      <c r="G1487" s="1" t="s">
        <v>1968</v>
      </c>
      <c r="H1487" s="2">
        <v>1</v>
      </c>
      <c r="J1487" s="15">
        <v>7.21</v>
      </c>
      <c r="K1487" s="40">
        <v>0</v>
      </c>
    </row>
    <row r="1488" spans="1:11" x14ac:dyDescent="0.25">
      <c r="A1488" s="1">
        <v>2255022</v>
      </c>
      <c r="B1488" s="1" t="s">
        <v>1498</v>
      </c>
      <c r="D1488" s="2">
        <v>0</v>
      </c>
      <c r="E1488" s="2" t="s">
        <v>0</v>
      </c>
      <c r="G1488" s="1" t="s">
        <v>1969</v>
      </c>
      <c r="H1488" s="2">
        <v>1</v>
      </c>
      <c r="I1488" s="2">
        <v>28</v>
      </c>
      <c r="J1488" s="15">
        <v>21.51</v>
      </c>
      <c r="K1488" s="40">
        <v>0</v>
      </c>
    </row>
    <row r="1489" spans="1:11" x14ac:dyDescent="0.25">
      <c r="A1489" s="1">
        <v>2255155</v>
      </c>
      <c r="B1489" s="1" t="s">
        <v>1499</v>
      </c>
      <c r="D1489" s="2">
        <v>0</v>
      </c>
      <c r="E1489" s="2" t="s">
        <v>0</v>
      </c>
      <c r="G1489" s="1" t="s">
        <v>1968</v>
      </c>
      <c r="H1489" s="2">
        <v>1</v>
      </c>
      <c r="J1489" s="15">
        <v>1.32</v>
      </c>
      <c r="K1489" s="40">
        <v>0</v>
      </c>
    </row>
    <row r="1490" spans="1:11" x14ac:dyDescent="0.25">
      <c r="A1490" s="1">
        <v>2257174</v>
      </c>
      <c r="B1490" s="1" t="s">
        <v>1500</v>
      </c>
      <c r="D1490" s="2">
        <v>0</v>
      </c>
      <c r="E1490" s="2" t="s">
        <v>0</v>
      </c>
      <c r="G1490" s="1" t="s">
        <v>1969</v>
      </c>
      <c r="H1490" s="2">
        <v>1</v>
      </c>
      <c r="I1490" s="2">
        <v>7</v>
      </c>
      <c r="J1490" s="15">
        <v>20.91</v>
      </c>
      <c r="K1490" s="40">
        <v>0</v>
      </c>
    </row>
    <row r="1491" spans="1:11" x14ac:dyDescent="0.25">
      <c r="A1491" s="1">
        <v>2261499</v>
      </c>
      <c r="B1491" s="1" t="s">
        <v>1501</v>
      </c>
      <c r="D1491" s="2">
        <v>0</v>
      </c>
      <c r="E1491" s="2" t="s">
        <v>0</v>
      </c>
      <c r="G1491" s="1" t="s">
        <v>786</v>
      </c>
      <c r="H1491" s="2">
        <v>1</v>
      </c>
      <c r="K1491" s="40">
        <v>0</v>
      </c>
    </row>
    <row r="1492" spans="1:11" x14ac:dyDescent="0.25">
      <c r="A1492" s="1">
        <v>2264303</v>
      </c>
      <c r="B1492" s="1" t="s">
        <v>1502</v>
      </c>
      <c r="D1492" s="2">
        <v>0</v>
      </c>
      <c r="E1492" s="2" t="s">
        <v>0</v>
      </c>
      <c r="G1492" s="1" t="s">
        <v>786</v>
      </c>
      <c r="H1492" s="2">
        <v>1</v>
      </c>
      <c r="I1492" s="2">
        <v>21</v>
      </c>
      <c r="J1492" s="15">
        <v>1.33</v>
      </c>
      <c r="K1492" s="40">
        <v>0</v>
      </c>
    </row>
    <row r="1493" spans="1:11" x14ac:dyDescent="0.25">
      <c r="A1493" s="1">
        <v>2264304</v>
      </c>
      <c r="B1493" s="1" t="s">
        <v>1503</v>
      </c>
      <c r="D1493" s="2">
        <v>0</v>
      </c>
      <c r="E1493" s="2" t="s">
        <v>0</v>
      </c>
      <c r="G1493" s="1" t="s">
        <v>1969</v>
      </c>
      <c r="H1493" s="2">
        <v>1</v>
      </c>
      <c r="I1493" s="2">
        <v>21</v>
      </c>
      <c r="J1493" s="15">
        <v>2.29</v>
      </c>
      <c r="K1493" s="40">
        <v>0</v>
      </c>
    </row>
    <row r="1494" spans="1:11" x14ac:dyDescent="0.25">
      <c r="A1494" s="1">
        <v>2264314</v>
      </c>
      <c r="B1494" s="1" t="s">
        <v>1504</v>
      </c>
      <c r="D1494" s="2">
        <v>0</v>
      </c>
      <c r="E1494" s="2" t="s">
        <v>0</v>
      </c>
      <c r="G1494" s="1" t="s">
        <v>1969</v>
      </c>
      <c r="H1494" s="2">
        <v>1</v>
      </c>
      <c r="I1494" s="2">
        <v>21</v>
      </c>
      <c r="J1494" s="15">
        <v>7.34</v>
      </c>
      <c r="K1494" s="40">
        <v>0</v>
      </c>
    </row>
    <row r="1495" spans="1:11" x14ac:dyDescent="0.25">
      <c r="A1495" s="1">
        <v>2264315</v>
      </c>
      <c r="B1495" s="1" t="s">
        <v>1505</v>
      </c>
      <c r="D1495" s="2">
        <v>0</v>
      </c>
      <c r="E1495" s="2" t="s">
        <v>0</v>
      </c>
      <c r="G1495" s="1" t="s">
        <v>1969</v>
      </c>
      <c r="H1495" s="2">
        <v>1</v>
      </c>
      <c r="I1495" s="2">
        <v>21</v>
      </c>
      <c r="J1495" s="15">
        <v>9.68</v>
      </c>
      <c r="K1495" s="40">
        <v>0</v>
      </c>
    </row>
    <row r="1496" spans="1:11" x14ac:dyDescent="0.25">
      <c r="A1496" s="1">
        <v>2264764</v>
      </c>
      <c r="B1496" s="1" t="s">
        <v>1506</v>
      </c>
      <c r="D1496" s="2">
        <v>0</v>
      </c>
      <c r="E1496" s="2" t="s">
        <v>0</v>
      </c>
      <c r="G1496" s="1" t="s">
        <v>1968</v>
      </c>
      <c r="H1496" s="2">
        <v>1</v>
      </c>
      <c r="J1496" s="15">
        <v>5.44</v>
      </c>
      <c r="K1496" s="40">
        <v>0</v>
      </c>
    </row>
    <row r="1497" spans="1:11" x14ac:dyDescent="0.25">
      <c r="A1497" s="1">
        <v>2265524</v>
      </c>
      <c r="B1497" s="1" t="s">
        <v>1507</v>
      </c>
      <c r="D1497" s="2">
        <v>0</v>
      </c>
      <c r="E1497" s="2" t="s">
        <v>0</v>
      </c>
      <c r="G1497" s="1" t="s">
        <v>1969</v>
      </c>
      <c r="H1497" s="2">
        <v>1</v>
      </c>
      <c r="I1497" s="2">
        <v>21</v>
      </c>
      <c r="J1497" s="15">
        <v>3.04</v>
      </c>
      <c r="K1497" s="40">
        <v>0</v>
      </c>
    </row>
    <row r="1498" spans="1:11" x14ac:dyDescent="0.25">
      <c r="A1498" s="1">
        <v>2265617</v>
      </c>
      <c r="B1498" s="1" t="s">
        <v>1508</v>
      </c>
      <c r="D1498" s="2">
        <v>0</v>
      </c>
      <c r="E1498" s="2" t="s">
        <v>0</v>
      </c>
      <c r="G1498" s="1" t="s">
        <v>786</v>
      </c>
      <c r="H1498" s="2">
        <v>1</v>
      </c>
      <c r="I1498" s="2">
        <v>7</v>
      </c>
      <c r="J1498" s="15">
        <v>994.51</v>
      </c>
      <c r="K1498" s="40">
        <v>0</v>
      </c>
    </row>
    <row r="1499" spans="1:11" x14ac:dyDescent="0.25">
      <c r="A1499" s="1">
        <v>2265639</v>
      </c>
      <c r="B1499" s="1" t="s">
        <v>1509</v>
      </c>
      <c r="D1499" s="2">
        <v>0</v>
      </c>
      <c r="E1499" s="2" t="s">
        <v>0</v>
      </c>
      <c r="G1499" s="1" t="s">
        <v>786</v>
      </c>
      <c r="H1499" s="2">
        <v>1</v>
      </c>
      <c r="I1499" s="2">
        <v>7</v>
      </c>
      <c r="J1499" s="15">
        <v>4.0199999999999996</v>
      </c>
      <c r="K1499" s="40">
        <v>0</v>
      </c>
    </row>
    <row r="1500" spans="1:11" x14ac:dyDescent="0.25">
      <c r="A1500" s="1">
        <v>2265640</v>
      </c>
      <c r="B1500" s="1" t="s">
        <v>1510</v>
      </c>
      <c r="D1500" s="2">
        <v>0</v>
      </c>
      <c r="E1500" s="2" t="s">
        <v>0</v>
      </c>
      <c r="G1500" s="1" t="s">
        <v>786</v>
      </c>
      <c r="H1500" s="2">
        <v>100</v>
      </c>
      <c r="J1500" s="15">
        <v>5.5</v>
      </c>
      <c r="K1500" s="40">
        <v>0</v>
      </c>
    </row>
    <row r="1501" spans="1:11" x14ac:dyDescent="0.25">
      <c r="A1501" s="1">
        <v>2269893</v>
      </c>
      <c r="B1501" s="1" t="s">
        <v>1511</v>
      </c>
      <c r="D1501" s="2">
        <v>0</v>
      </c>
      <c r="E1501" s="2" t="s">
        <v>0</v>
      </c>
      <c r="G1501" s="1" t="s">
        <v>1969</v>
      </c>
      <c r="H1501" s="2">
        <v>1</v>
      </c>
      <c r="I1501" s="2">
        <v>7</v>
      </c>
      <c r="J1501" s="15">
        <v>6.32</v>
      </c>
      <c r="K1501" s="40">
        <v>0</v>
      </c>
    </row>
    <row r="1502" spans="1:11" x14ac:dyDescent="0.25">
      <c r="A1502" s="1">
        <v>2269901</v>
      </c>
      <c r="B1502" s="1" t="s">
        <v>1512</v>
      </c>
      <c r="D1502" s="2">
        <v>0</v>
      </c>
      <c r="E1502" s="2" t="s">
        <v>131</v>
      </c>
      <c r="G1502" s="1" t="s">
        <v>1969</v>
      </c>
      <c r="H1502" s="2">
        <v>100</v>
      </c>
      <c r="I1502" s="2">
        <v>7</v>
      </c>
      <c r="J1502" s="15">
        <v>104.48</v>
      </c>
      <c r="K1502" s="40">
        <v>0</v>
      </c>
    </row>
    <row r="1503" spans="1:11" x14ac:dyDescent="0.25">
      <c r="A1503" s="1">
        <v>2271156</v>
      </c>
      <c r="B1503" s="1" t="s">
        <v>1513</v>
      </c>
      <c r="D1503" s="2">
        <v>0</v>
      </c>
      <c r="E1503" s="2" t="s">
        <v>0</v>
      </c>
      <c r="G1503" s="1" t="s">
        <v>1969</v>
      </c>
      <c r="H1503" s="2">
        <v>1</v>
      </c>
      <c r="I1503" s="2">
        <v>7</v>
      </c>
      <c r="J1503" s="15">
        <v>2.91</v>
      </c>
      <c r="K1503" s="40">
        <v>0</v>
      </c>
    </row>
    <row r="1504" spans="1:11" x14ac:dyDescent="0.25">
      <c r="A1504" s="1">
        <v>2272157</v>
      </c>
      <c r="B1504" s="1" t="s">
        <v>1514</v>
      </c>
      <c r="D1504" s="2">
        <v>0</v>
      </c>
      <c r="E1504" s="2" t="s">
        <v>0</v>
      </c>
      <c r="G1504" s="1" t="s">
        <v>786</v>
      </c>
      <c r="H1504" s="2">
        <v>1</v>
      </c>
      <c r="I1504" s="2">
        <v>7</v>
      </c>
      <c r="J1504" s="15">
        <v>1.03</v>
      </c>
      <c r="K1504" s="40">
        <v>0</v>
      </c>
    </row>
    <row r="1505" spans="1:11" x14ac:dyDescent="0.25">
      <c r="A1505" s="1">
        <v>2281311</v>
      </c>
      <c r="B1505" s="1" t="s">
        <v>1515</v>
      </c>
      <c r="D1505" s="2">
        <v>0</v>
      </c>
      <c r="E1505" s="2" t="s">
        <v>56</v>
      </c>
      <c r="G1505" s="1" t="s">
        <v>786</v>
      </c>
      <c r="H1505" s="2">
        <v>1</v>
      </c>
      <c r="I1505" s="2">
        <v>14</v>
      </c>
      <c r="J1505" s="15">
        <v>40.47</v>
      </c>
      <c r="K1505" s="40">
        <v>0</v>
      </c>
    </row>
    <row r="1506" spans="1:11" x14ac:dyDescent="0.25">
      <c r="A1506" s="1">
        <v>2281601</v>
      </c>
      <c r="B1506" s="1" t="s">
        <v>1516</v>
      </c>
      <c r="D1506" s="2">
        <v>0</v>
      </c>
      <c r="E1506" s="2" t="s">
        <v>56</v>
      </c>
      <c r="G1506" s="1" t="s">
        <v>786</v>
      </c>
      <c r="H1506" s="2">
        <v>100</v>
      </c>
      <c r="I1506" s="2">
        <v>7</v>
      </c>
      <c r="J1506" s="15">
        <v>22.94</v>
      </c>
      <c r="K1506" s="40">
        <v>0</v>
      </c>
    </row>
    <row r="1507" spans="1:11" x14ac:dyDescent="0.25">
      <c r="A1507" s="1">
        <v>2281711</v>
      </c>
      <c r="B1507" s="1" t="s">
        <v>1517</v>
      </c>
      <c r="D1507" s="2">
        <v>0</v>
      </c>
      <c r="E1507" s="2" t="s">
        <v>56</v>
      </c>
      <c r="G1507" s="1" t="s">
        <v>786</v>
      </c>
      <c r="H1507" s="2">
        <v>1</v>
      </c>
      <c r="I1507" s="2">
        <v>14</v>
      </c>
      <c r="J1507" s="15">
        <v>9.94</v>
      </c>
      <c r="K1507" s="40">
        <v>0</v>
      </c>
    </row>
    <row r="1508" spans="1:11" x14ac:dyDescent="0.25">
      <c r="A1508" s="1">
        <v>2281713</v>
      </c>
      <c r="B1508" s="1" t="s">
        <v>1518</v>
      </c>
      <c r="D1508" s="2">
        <v>0</v>
      </c>
      <c r="E1508" s="2" t="s">
        <v>56</v>
      </c>
      <c r="G1508" s="1" t="s">
        <v>786</v>
      </c>
      <c r="H1508" s="2">
        <v>1</v>
      </c>
      <c r="I1508" s="2">
        <v>14</v>
      </c>
      <c r="J1508" s="15">
        <v>6.33</v>
      </c>
      <c r="K1508" s="40">
        <v>0</v>
      </c>
    </row>
    <row r="1509" spans="1:11" x14ac:dyDescent="0.25">
      <c r="A1509" s="1">
        <v>2285421</v>
      </c>
      <c r="B1509" s="1" t="s">
        <v>1519</v>
      </c>
      <c r="D1509" s="2">
        <v>0</v>
      </c>
      <c r="E1509" s="2" t="s">
        <v>0</v>
      </c>
      <c r="G1509" s="1" t="s">
        <v>1969</v>
      </c>
      <c r="H1509" s="2">
        <v>1</v>
      </c>
      <c r="I1509" s="2">
        <v>7</v>
      </c>
      <c r="K1509" s="40">
        <v>0</v>
      </c>
    </row>
    <row r="1510" spans="1:11" x14ac:dyDescent="0.25">
      <c r="A1510" s="1">
        <v>2325757</v>
      </c>
      <c r="B1510" s="1" t="s">
        <v>1520</v>
      </c>
      <c r="D1510" s="2">
        <v>0</v>
      </c>
      <c r="E1510" s="2" t="s">
        <v>424</v>
      </c>
      <c r="G1510" s="1" t="s">
        <v>1969</v>
      </c>
      <c r="H1510" s="2">
        <v>1</v>
      </c>
      <c r="I1510" s="2">
        <v>28</v>
      </c>
      <c r="J1510" s="15">
        <v>304.94</v>
      </c>
      <c r="K1510" s="40">
        <v>0</v>
      </c>
    </row>
    <row r="1511" spans="1:11" x14ac:dyDescent="0.25">
      <c r="A1511" s="1">
        <v>2326587</v>
      </c>
      <c r="B1511" s="1" t="s">
        <v>1521</v>
      </c>
      <c r="D1511" s="2">
        <v>0</v>
      </c>
      <c r="E1511" s="2" t="s">
        <v>0</v>
      </c>
      <c r="G1511" s="1" t="s">
        <v>1969</v>
      </c>
      <c r="H1511" s="2">
        <v>1</v>
      </c>
      <c r="I1511" s="2">
        <v>35</v>
      </c>
      <c r="J1511" s="15">
        <v>14.69</v>
      </c>
      <c r="K1511" s="40">
        <v>0</v>
      </c>
    </row>
    <row r="1512" spans="1:11" x14ac:dyDescent="0.25">
      <c r="A1512" s="1">
        <v>2326589</v>
      </c>
      <c r="B1512" s="1" t="s">
        <v>1522</v>
      </c>
      <c r="D1512" s="2">
        <v>0</v>
      </c>
      <c r="E1512" s="2" t="s">
        <v>0</v>
      </c>
      <c r="G1512" s="1" t="s">
        <v>1969</v>
      </c>
      <c r="H1512" s="2">
        <v>1</v>
      </c>
      <c r="I1512" s="2">
        <v>21</v>
      </c>
      <c r="J1512" s="15">
        <v>11.33</v>
      </c>
      <c r="K1512" s="40">
        <v>0</v>
      </c>
    </row>
    <row r="1513" spans="1:11" x14ac:dyDescent="0.25">
      <c r="A1513" s="1">
        <v>2326591</v>
      </c>
      <c r="B1513" s="1" t="s">
        <v>1523</v>
      </c>
      <c r="D1513" s="2">
        <v>0</v>
      </c>
      <c r="E1513" s="2" t="s">
        <v>0</v>
      </c>
      <c r="G1513" s="1" t="s">
        <v>1969</v>
      </c>
      <c r="H1513" s="2">
        <v>1</v>
      </c>
      <c r="I1513" s="2">
        <v>21</v>
      </c>
      <c r="J1513" s="15">
        <v>7.36</v>
      </c>
      <c r="K1513" s="40">
        <v>0</v>
      </c>
    </row>
    <row r="1514" spans="1:11" x14ac:dyDescent="0.25">
      <c r="A1514" s="1">
        <v>2326594</v>
      </c>
      <c r="B1514" s="1" t="s">
        <v>146</v>
      </c>
      <c r="D1514" s="2">
        <v>0</v>
      </c>
      <c r="E1514" s="2" t="s">
        <v>0</v>
      </c>
      <c r="G1514" s="1" t="s">
        <v>1968</v>
      </c>
      <c r="H1514" s="2">
        <v>1</v>
      </c>
      <c r="J1514" s="15">
        <v>11.88</v>
      </c>
      <c r="K1514" s="40">
        <v>0</v>
      </c>
    </row>
    <row r="1515" spans="1:11" x14ac:dyDescent="0.25">
      <c r="A1515" s="1">
        <v>2326647</v>
      </c>
      <c r="B1515" s="1" t="s">
        <v>547</v>
      </c>
      <c r="D1515" s="2">
        <v>0</v>
      </c>
      <c r="E1515" s="2" t="s">
        <v>0</v>
      </c>
      <c r="G1515" s="1" t="s">
        <v>786</v>
      </c>
      <c r="H1515" s="2">
        <v>1</v>
      </c>
      <c r="I1515" s="2">
        <v>21</v>
      </c>
      <c r="J1515" s="15">
        <v>0.56999999999999995</v>
      </c>
      <c r="K1515" s="40">
        <v>0</v>
      </c>
    </row>
    <row r="1516" spans="1:11" x14ac:dyDescent="0.25">
      <c r="A1516" s="1">
        <v>2326648</v>
      </c>
      <c r="B1516" s="1" t="s">
        <v>535</v>
      </c>
      <c r="D1516" s="2">
        <v>0</v>
      </c>
      <c r="E1516" s="2" t="s">
        <v>0</v>
      </c>
      <c r="G1516" s="1" t="s">
        <v>1969</v>
      </c>
      <c r="H1516" s="2">
        <v>1</v>
      </c>
      <c r="I1516" s="2">
        <v>21</v>
      </c>
      <c r="J1516" s="15">
        <v>0.5</v>
      </c>
      <c r="K1516" s="40">
        <v>0</v>
      </c>
    </row>
    <row r="1517" spans="1:11" x14ac:dyDescent="0.25">
      <c r="A1517" s="1">
        <v>2326649</v>
      </c>
      <c r="B1517" s="1" t="s">
        <v>531</v>
      </c>
      <c r="D1517" s="2">
        <v>0</v>
      </c>
      <c r="E1517" s="2" t="s">
        <v>0</v>
      </c>
      <c r="G1517" s="1" t="s">
        <v>786</v>
      </c>
      <c r="H1517" s="2">
        <v>1</v>
      </c>
      <c r="I1517" s="2">
        <v>21</v>
      </c>
      <c r="J1517" s="15">
        <v>0.2</v>
      </c>
      <c r="K1517" s="40">
        <v>0</v>
      </c>
    </row>
    <row r="1518" spans="1:11" x14ac:dyDescent="0.25">
      <c r="A1518" s="1">
        <v>2326650</v>
      </c>
      <c r="B1518" s="1" t="s">
        <v>533</v>
      </c>
      <c r="D1518" s="2">
        <v>0</v>
      </c>
      <c r="E1518" s="2" t="s">
        <v>0</v>
      </c>
      <c r="G1518" s="1" t="s">
        <v>786</v>
      </c>
      <c r="H1518" s="2">
        <v>1</v>
      </c>
      <c r="J1518" s="15">
        <v>0.37</v>
      </c>
      <c r="K1518" s="40">
        <v>0</v>
      </c>
    </row>
    <row r="1519" spans="1:11" x14ac:dyDescent="0.25">
      <c r="A1519" s="1">
        <v>2326653</v>
      </c>
      <c r="B1519" s="1" t="s">
        <v>1524</v>
      </c>
      <c r="D1519" s="2">
        <v>0</v>
      </c>
      <c r="E1519" s="2" t="s">
        <v>0</v>
      </c>
      <c r="G1519" s="1" t="s">
        <v>1968</v>
      </c>
      <c r="H1519" s="2">
        <v>1</v>
      </c>
      <c r="J1519" s="15">
        <v>5.89</v>
      </c>
      <c r="K1519" s="40">
        <v>0</v>
      </c>
    </row>
    <row r="1520" spans="1:11" x14ac:dyDescent="0.25">
      <c r="A1520" s="1">
        <v>2326655</v>
      </c>
      <c r="B1520" s="1" t="s">
        <v>1525</v>
      </c>
      <c r="D1520" s="2">
        <v>0</v>
      </c>
      <c r="E1520" s="2" t="s">
        <v>0</v>
      </c>
      <c r="G1520" s="1" t="s">
        <v>1969</v>
      </c>
      <c r="H1520" s="2">
        <v>1</v>
      </c>
      <c r="I1520" s="2">
        <v>35</v>
      </c>
      <c r="J1520" s="15">
        <v>11.75</v>
      </c>
      <c r="K1520" s="40">
        <v>0</v>
      </c>
    </row>
    <row r="1521" spans="1:11" x14ac:dyDescent="0.25">
      <c r="A1521" s="1">
        <v>2326656</v>
      </c>
      <c r="B1521" s="1" t="s">
        <v>1526</v>
      </c>
      <c r="D1521" s="2">
        <v>0</v>
      </c>
      <c r="E1521" s="2" t="s">
        <v>0</v>
      </c>
      <c r="G1521" s="1" t="s">
        <v>1969</v>
      </c>
      <c r="H1521" s="2">
        <v>1</v>
      </c>
      <c r="I1521" s="2">
        <v>35</v>
      </c>
      <c r="J1521" s="15">
        <v>12.91</v>
      </c>
      <c r="K1521" s="40">
        <v>0</v>
      </c>
    </row>
    <row r="1522" spans="1:11" x14ac:dyDescent="0.25">
      <c r="A1522" s="1">
        <v>2328163</v>
      </c>
      <c r="B1522" s="1" t="s">
        <v>1527</v>
      </c>
      <c r="D1522" s="2">
        <v>0</v>
      </c>
      <c r="E1522" s="2" t="s">
        <v>0</v>
      </c>
      <c r="G1522" s="1" t="s">
        <v>1968</v>
      </c>
      <c r="H1522" s="2">
        <v>1</v>
      </c>
      <c r="J1522" s="15">
        <v>353.9</v>
      </c>
      <c r="K1522" s="40">
        <v>0</v>
      </c>
    </row>
    <row r="1523" spans="1:11" x14ac:dyDescent="0.25">
      <c r="A1523" s="1">
        <v>2328183</v>
      </c>
      <c r="B1523" s="1" t="s">
        <v>1528</v>
      </c>
      <c r="D1523" s="2">
        <v>0</v>
      </c>
      <c r="E1523" s="2" t="s">
        <v>0</v>
      </c>
      <c r="G1523" s="1" t="s">
        <v>1968</v>
      </c>
      <c r="H1523" s="2">
        <v>1</v>
      </c>
      <c r="J1523" s="15">
        <v>421.88</v>
      </c>
      <c r="K1523" s="40">
        <v>0</v>
      </c>
    </row>
    <row r="1524" spans="1:11" x14ac:dyDescent="0.25">
      <c r="A1524" s="1">
        <v>2328184</v>
      </c>
      <c r="B1524" s="1" t="s">
        <v>1529</v>
      </c>
      <c r="D1524" s="2">
        <v>0</v>
      </c>
      <c r="E1524" s="2" t="s">
        <v>0</v>
      </c>
      <c r="G1524" s="1" t="s">
        <v>1968</v>
      </c>
      <c r="H1524" s="2">
        <v>1</v>
      </c>
      <c r="J1524" s="15">
        <v>489.86</v>
      </c>
      <c r="K1524" s="40">
        <v>0</v>
      </c>
    </row>
    <row r="1525" spans="1:11" x14ac:dyDescent="0.25">
      <c r="A1525" s="1">
        <v>2328185</v>
      </c>
      <c r="B1525" s="1" t="s">
        <v>1530</v>
      </c>
      <c r="D1525" s="2">
        <v>0</v>
      </c>
      <c r="E1525" s="2" t="s">
        <v>0</v>
      </c>
      <c r="G1525" s="1" t="s">
        <v>1968</v>
      </c>
      <c r="H1525" s="2">
        <v>1</v>
      </c>
      <c r="J1525" s="15">
        <v>557.87</v>
      </c>
      <c r="K1525" s="40">
        <v>0</v>
      </c>
    </row>
    <row r="1526" spans="1:11" x14ac:dyDescent="0.25">
      <c r="A1526" s="1">
        <v>2329909</v>
      </c>
      <c r="B1526" s="1" t="s">
        <v>1531</v>
      </c>
      <c r="D1526" s="2">
        <v>0</v>
      </c>
      <c r="E1526" s="2" t="s">
        <v>0</v>
      </c>
      <c r="G1526" s="1" t="s">
        <v>1968</v>
      </c>
      <c r="H1526" s="2">
        <v>1</v>
      </c>
      <c r="J1526" s="15">
        <v>345.97</v>
      </c>
      <c r="K1526" s="40">
        <v>0</v>
      </c>
    </row>
    <row r="1527" spans="1:11" x14ac:dyDescent="0.25">
      <c r="A1527" s="1">
        <v>2329911</v>
      </c>
      <c r="B1527" s="1" t="s">
        <v>1532</v>
      </c>
      <c r="D1527" s="2">
        <v>0</v>
      </c>
      <c r="E1527" s="2" t="s">
        <v>0</v>
      </c>
      <c r="G1527" s="1" t="s">
        <v>1968</v>
      </c>
      <c r="H1527" s="2">
        <v>1</v>
      </c>
      <c r="J1527" s="15">
        <v>437.65</v>
      </c>
      <c r="K1527" s="40">
        <v>0</v>
      </c>
    </row>
    <row r="1528" spans="1:11" x14ac:dyDescent="0.25">
      <c r="A1528" s="1">
        <v>2329912</v>
      </c>
      <c r="B1528" s="1" t="s">
        <v>1533</v>
      </c>
      <c r="D1528" s="2">
        <v>0</v>
      </c>
      <c r="E1528" s="2" t="s">
        <v>0</v>
      </c>
      <c r="G1528" s="1" t="s">
        <v>1968</v>
      </c>
      <c r="H1528" s="2">
        <v>1</v>
      </c>
      <c r="J1528" s="15">
        <v>488.23</v>
      </c>
      <c r="K1528" s="40">
        <v>0</v>
      </c>
    </row>
    <row r="1529" spans="1:11" x14ac:dyDescent="0.25">
      <c r="A1529" s="1">
        <v>2342786</v>
      </c>
      <c r="B1529" s="1" t="s">
        <v>1534</v>
      </c>
      <c r="D1529" s="2">
        <v>0</v>
      </c>
      <c r="E1529" s="2" t="s">
        <v>0</v>
      </c>
      <c r="G1529" s="1" t="s">
        <v>1968</v>
      </c>
      <c r="H1529" s="2">
        <v>1</v>
      </c>
      <c r="J1529" s="15">
        <v>878.62</v>
      </c>
      <c r="K1529" s="40">
        <v>0</v>
      </c>
    </row>
    <row r="1530" spans="1:11" x14ac:dyDescent="0.25">
      <c r="A1530" s="1">
        <v>2344201</v>
      </c>
      <c r="B1530" s="1" t="s">
        <v>1535</v>
      </c>
      <c r="D1530" s="2">
        <v>0</v>
      </c>
      <c r="E1530" s="2" t="s">
        <v>0</v>
      </c>
      <c r="G1530" s="1" t="s">
        <v>786</v>
      </c>
      <c r="H1530" s="2">
        <v>1</v>
      </c>
      <c r="I1530" s="2">
        <v>14</v>
      </c>
      <c r="K1530" s="40">
        <v>0</v>
      </c>
    </row>
    <row r="1531" spans="1:11" x14ac:dyDescent="0.25">
      <c r="A1531" s="1">
        <v>2344202</v>
      </c>
      <c r="B1531" s="1" t="s">
        <v>1536</v>
      </c>
      <c r="D1531" s="2">
        <v>0</v>
      </c>
      <c r="E1531" s="2" t="s">
        <v>0</v>
      </c>
      <c r="G1531" s="1" t="s">
        <v>786</v>
      </c>
      <c r="H1531" s="2">
        <v>1</v>
      </c>
      <c r="I1531" s="2">
        <v>14</v>
      </c>
      <c r="K1531" s="40">
        <v>0</v>
      </c>
    </row>
    <row r="1532" spans="1:11" x14ac:dyDescent="0.25">
      <c r="A1532" s="1">
        <v>2344705</v>
      </c>
      <c r="B1532" s="1" t="s">
        <v>1537</v>
      </c>
      <c r="D1532" s="2">
        <v>0</v>
      </c>
      <c r="E1532" s="2" t="s">
        <v>0</v>
      </c>
      <c r="G1532" s="1" t="s">
        <v>1968</v>
      </c>
      <c r="H1532" s="2">
        <v>1</v>
      </c>
      <c r="J1532" s="15">
        <v>7.68</v>
      </c>
      <c r="K1532" s="40">
        <v>0</v>
      </c>
    </row>
    <row r="1533" spans="1:11" x14ac:dyDescent="0.25">
      <c r="A1533" s="1">
        <v>2346196</v>
      </c>
      <c r="B1533" s="1" t="s">
        <v>1538</v>
      </c>
      <c r="D1533" s="2">
        <v>0</v>
      </c>
      <c r="E1533" s="2" t="s">
        <v>302</v>
      </c>
      <c r="G1533" s="1" t="s">
        <v>1968</v>
      </c>
      <c r="H1533" s="2">
        <v>1</v>
      </c>
      <c r="J1533" s="15">
        <v>8.81</v>
      </c>
      <c r="K1533" s="40">
        <v>0</v>
      </c>
    </row>
    <row r="1534" spans="1:11" x14ac:dyDescent="0.25">
      <c r="A1534" s="1">
        <v>2354937</v>
      </c>
      <c r="B1534" s="1" t="s">
        <v>511</v>
      </c>
      <c r="D1534" s="2">
        <v>0</v>
      </c>
      <c r="E1534" s="2" t="s">
        <v>0</v>
      </c>
      <c r="G1534" s="1" t="s">
        <v>1969</v>
      </c>
      <c r="H1534" s="2">
        <v>1</v>
      </c>
      <c r="I1534" s="2">
        <v>35</v>
      </c>
      <c r="J1534" s="15">
        <v>32.799999999999997</v>
      </c>
      <c r="K1534" s="40">
        <v>0</v>
      </c>
    </row>
    <row r="1535" spans="1:11" x14ac:dyDescent="0.25">
      <c r="A1535" s="1">
        <v>2354938</v>
      </c>
      <c r="B1535" s="1" t="s">
        <v>435</v>
      </c>
      <c r="D1535" s="2">
        <v>0</v>
      </c>
      <c r="E1535" s="2" t="s">
        <v>0</v>
      </c>
      <c r="G1535" s="1" t="s">
        <v>1968</v>
      </c>
      <c r="H1535" s="2">
        <v>1</v>
      </c>
      <c r="J1535" s="15">
        <v>1.53</v>
      </c>
      <c r="K1535" s="40">
        <v>0</v>
      </c>
    </row>
    <row r="1536" spans="1:11" x14ac:dyDescent="0.25">
      <c r="A1536" s="1">
        <v>2354940</v>
      </c>
      <c r="B1536" s="1" t="s">
        <v>1539</v>
      </c>
      <c r="D1536" s="2">
        <v>0</v>
      </c>
      <c r="E1536" s="2" t="s">
        <v>0</v>
      </c>
      <c r="G1536" s="1" t="s">
        <v>1969</v>
      </c>
      <c r="H1536" s="2">
        <v>1</v>
      </c>
      <c r="I1536" s="2">
        <v>35</v>
      </c>
      <c r="J1536" s="15">
        <v>46.65</v>
      </c>
      <c r="K1536" s="40">
        <v>0</v>
      </c>
    </row>
    <row r="1537" spans="1:11" x14ac:dyDescent="0.25">
      <c r="A1537" s="1">
        <v>2354943</v>
      </c>
      <c r="B1537" s="1" t="s">
        <v>1540</v>
      </c>
      <c r="D1537" s="2">
        <v>0</v>
      </c>
      <c r="E1537" s="2" t="s">
        <v>0</v>
      </c>
      <c r="G1537" s="1" t="s">
        <v>786</v>
      </c>
      <c r="H1537" s="2">
        <v>1</v>
      </c>
      <c r="I1537" s="2">
        <v>21</v>
      </c>
      <c r="J1537" s="15">
        <v>0.64</v>
      </c>
      <c r="K1537" s="40">
        <v>0</v>
      </c>
    </row>
    <row r="1538" spans="1:11" x14ac:dyDescent="0.25">
      <c r="A1538" s="1">
        <v>2354944</v>
      </c>
      <c r="B1538" s="1" t="s">
        <v>1541</v>
      </c>
      <c r="D1538" s="2">
        <v>0</v>
      </c>
      <c r="E1538" s="2" t="s">
        <v>0</v>
      </c>
      <c r="G1538" s="1" t="s">
        <v>786</v>
      </c>
      <c r="H1538" s="2">
        <v>1</v>
      </c>
      <c r="I1538" s="2">
        <v>21</v>
      </c>
      <c r="J1538" s="15">
        <v>0.2</v>
      </c>
      <c r="K1538" s="40">
        <v>0</v>
      </c>
    </row>
    <row r="1539" spans="1:11" x14ac:dyDescent="0.25">
      <c r="A1539" s="1">
        <v>2369251</v>
      </c>
      <c r="B1539" s="1" t="s">
        <v>1542</v>
      </c>
      <c r="D1539" s="2">
        <v>0</v>
      </c>
      <c r="E1539" s="2" t="s">
        <v>0</v>
      </c>
      <c r="G1539" s="1" t="s">
        <v>1968</v>
      </c>
      <c r="H1539" s="2">
        <v>1</v>
      </c>
      <c r="J1539" s="15">
        <v>320.27999999999997</v>
      </c>
      <c r="K1539" s="40">
        <v>0</v>
      </c>
    </row>
    <row r="1540" spans="1:11" x14ac:dyDescent="0.25">
      <c r="A1540" s="1">
        <v>2370841</v>
      </c>
      <c r="B1540" s="1" t="s">
        <v>1543</v>
      </c>
      <c r="D1540" s="2">
        <v>0</v>
      </c>
      <c r="E1540" s="2" t="s">
        <v>131</v>
      </c>
      <c r="G1540" s="1" t="s">
        <v>786</v>
      </c>
      <c r="H1540" s="2">
        <v>1</v>
      </c>
      <c r="I1540" s="2">
        <v>14</v>
      </c>
      <c r="J1540" s="15">
        <v>15.35</v>
      </c>
      <c r="K1540" s="40">
        <v>0</v>
      </c>
    </row>
    <row r="1541" spans="1:11" x14ac:dyDescent="0.25">
      <c r="A1541" s="1">
        <v>2370975</v>
      </c>
      <c r="B1541" s="1" t="s">
        <v>1544</v>
      </c>
      <c r="D1541" s="2">
        <v>0</v>
      </c>
      <c r="E1541" s="2" t="s">
        <v>0</v>
      </c>
      <c r="G1541" s="1" t="s">
        <v>1969</v>
      </c>
      <c r="H1541" s="2">
        <v>1</v>
      </c>
      <c r="I1541" s="2">
        <v>49</v>
      </c>
      <c r="J1541" s="15">
        <v>379.88</v>
      </c>
      <c r="K1541" s="40">
        <v>0</v>
      </c>
    </row>
    <row r="1542" spans="1:11" x14ac:dyDescent="0.25">
      <c r="A1542" s="1">
        <v>2371286</v>
      </c>
      <c r="B1542" s="1" t="s">
        <v>1545</v>
      </c>
      <c r="D1542" s="2">
        <v>0</v>
      </c>
      <c r="E1542" s="2" t="s">
        <v>54</v>
      </c>
      <c r="G1542" s="1" t="s">
        <v>1968</v>
      </c>
      <c r="H1542" s="2">
        <v>1</v>
      </c>
      <c r="J1542" s="15">
        <v>13.26</v>
      </c>
      <c r="K1542" s="40">
        <v>0</v>
      </c>
    </row>
    <row r="1543" spans="1:11" x14ac:dyDescent="0.25">
      <c r="A1543" s="1">
        <v>2371681</v>
      </c>
      <c r="B1543" s="1" t="s">
        <v>1546</v>
      </c>
      <c r="D1543" s="2">
        <v>0</v>
      </c>
      <c r="E1543" s="2" t="s">
        <v>0</v>
      </c>
      <c r="G1543" s="1" t="s">
        <v>1968</v>
      </c>
      <c r="H1543" s="2">
        <v>1</v>
      </c>
      <c r="J1543" s="15">
        <v>645.70000000000005</v>
      </c>
      <c r="K1543" s="40">
        <v>0</v>
      </c>
    </row>
    <row r="1544" spans="1:11" x14ac:dyDescent="0.25">
      <c r="A1544" s="1">
        <v>2371682</v>
      </c>
      <c r="B1544" s="1" t="s">
        <v>1547</v>
      </c>
      <c r="D1544" s="2">
        <v>0</v>
      </c>
      <c r="E1544" s="2" t="s">
        <v>0</v>
      </c>
      <c r="G1544" s="1" t="s">
        <v>1968</v>
      </c>
      <c r="H1544" s="2">
        <v>1</v>
      </c>
      <c r="J1544" s="15">
        <v>866.34</v>
      </c>
      <c r="K1544" s="40">
        <v>0</v>
      </c>
    </row>
    <row r="1545" spans="1:11" x14ac:dyDescent="0.25">
      <c r="A1545" s="1">
        <v>2371683</v>
      </c>
      <c r="B1545" s="1" t="s">
        <v>1548</v>
      </c>
      <c r="D1545" s="2">
        <v>0</v>
      </c>
      <c r="E1545" s="2" t="s">
        <v>0</v>
      </c>
      <c r="G1545" s="1" t="s">
        <v>1968</v>
      </c>
      <c r="H1545" s="2">
        <v>1</v>
      </c>
      <c r="J1545" s="15">
        <v>1169.71</v>
      </c>
      <c r="K1545" s="40">
        <v>0</v>
      </c>
    </row>
    <row r="1546" spans="1:11" x14ac:dyDescent="0.25">
      <c r="A1546" s="1">
        <v>2371684</v>
      </c>
      <c r="B1546" s="1" t="s">
        <v>1549</v>
      </c>
      <c r="D1546" s="2">
        <v>0</v>
      </c>
      <c r="E1546" s="2" t="s">
        <v>0</v>
      </c>
      <c r="G1546" s="1" t="s">
        <v>1968</v>
      </c>
      <c r="H1546" s="2">
        <v>1</v>
      </c>
      <c r="J1546" s="15">
        <v>1417.92</v>
      </c>
      <c r="K1546" s="40">
        <v>0</v>
      </c>
    </row>
    <row r="1547" spans="1:11" x14ac:dyDescent="0.25">
      <c r="A1547" s="1">
        <v>2371685</v>
      </c>
      <c r="B1547" s="1" t="s">
        <v>1550</v>
      </c>
      <c r="D1547" s="2">
        <v>0</v>
      </c>
      <c r="E1547" s="2" t="s">
        <v>0</v>
      </c>
      <c r="G1547" s="1" t="s">
        <v>1968</v>
      </c>
      <c r="H1547" s="2">
        <v>1</v>
      </c>
      <c r="J1547" s="15">
        <v>615.01</v>
      </c>
      <c r="K1547" s="40">
        <v>0</v>
      </c>
    </row>
    <row r="1548" spans="1:11" x14ac:dyDescent="0.25">
      <c r="A1548" s="1">
        <v>2371686</v>
      </c>
      <c r="B1548" s="1" t="s">
        <v>1551</v>
      </c>
      <c r="D1548" s="2">
        <v>0</v>
      </c>
      <c r="E1548" s="2" t="s">
        <v>0</v>
      </c>
      <c r="G1548" s="1" t="s">
        <v>1968</v>
      </c>
      <c r="H1548" s="2">
        <v>1</v>
      </c>
      <c r="J1548" s="15">
        <v>835.62</v>
      </c>
      <c r="K1548" s="40">
        <v>0</v>
      </c>
    </row>
    <row r="1549" spans="1:11" x14ac:dyDescent="0.25">
      <c r="A1549" s="1">
        <v>2371687</v>
      </c>
      <c r="B1549" s="1" t="s">
        <v>1552</v>
      </c>
      <c r="D1549" s="2">
        <v>0</v>
      </c>
      <c r="E1549" s="2" t="s">
        <v>0</v>
      </c>
      <c r="G1549" s="1" t="s">
        <v>1968</v>
      </c>
      <c r="H1549" s="2">
        <v>1</v>
      </c>
      <c r="J1549" s="15">
        <v>1138.98</v>
      </c>
      <c r="K1549" s="40">
        <v>0</v>
      </c>
    </row>
    <row r="1550" spans="1:11" x14ac:dyDescent="0.25">
      <c r="A1550" s="1">
        <v>2371688</v>
      </c>
      <c r="B1550" s="1" t="s">
        <v>1553</v>
      </c>
      <c r="D1550" s="2">
        <v>0</v>
      </c>
      <c r="E1550" s="2" t="s">
        <v>0</v>
      </c>
      <c r="G1550" s="1" t="s">
        <v>1968</v>
      </c>
      <c r="H1550" s="2">
        <v>1</v>
      </c>
      <c r="J1550" s="15">
        <v>1387.2</v>
      </c>
      <c r="K1550" s="40">
        <v>0</v>
      </c>
    </row>
    <row r="1551" spans="1:11" x14ac:dyDescent="0.25">
      <c r="A1551" s="1">
        <v>2372288</v>
      </c>
      <c r="B1551" s="1" t="s">
        <v>1554</v>
      </c>
      <c r="D1551" s="2">
        <v>0</v>
      </c>
      <c r="E1551" s="2" t="s">
        <v>0</v>
      </c>
      <c r="G1551" s="1" t="s">
        <v>786</v>
      </c>
      <c r="H1551" s="2">
        <v>1</v>
      </c>
      <c r="I1551" s="2">
        <v>7</v>
      </c>
      <c r="J1551" s="15">
        <v>16.38</v>
      </c>
      <c r="K1551" s="40">
        <v>0</v>
      </c>
    </row>
    <row r="1552" spans="1:11" x14ac:dyDescent="0.25">
      <c r="A1552" s="1">
        <v>2372289</v>
      </c>
      <c r="B1552" s="1" t="s">
        <v>1555</v>
      </c>
      <c r="D1552" s="2">
        <v>0</v>
      </c>
      <c r="E1552" s="2" t="s">
        <v>0</v>
      </c>
      <c r="G1552" s="1" t="s">
        <v>786</v>
      </c>
      <c r="H1552" s="2">
        <v>1</v>
      </c>
      <c r="J1552" s="15">
        <v>14.42</v>
      </c>
      <c r="K1552" s="40">
        <v>0</v>
      </c>
    </row>
    <row r="1553" spans="1:11" x14ac:dyDescent="0.25">
      <c r="A1553" s="1">
        <v>2372290</v>
      </c>
      <c r="B1553" s="1" t="s">
        <v>1556</v>
      </c>
      <c r="D1553" s="2">
        <v>0</v>
      </c>
      <c r="E1553" s="2" t="s">
        <v>0</v>
      </c>
      <c r="G1553" s="1" t="s">
        <v>786</v>
      </c>
      <c r="H1553" s="2">
        <v>1</v>
      </c>
      <c r="J1553" s="15">
        <v>19.05</v>
      </c>
      <c r="K1553" s="40">
        <v>0</v>
      </c>
    </row>
    <row r="1554" spans="1:11" x14ac:dyDescent="0.25">
      <c r="A1554" s="1">
        <v>2372291</v>
      </c>
      <c r="B1554" s="1" t="s">
        <v>1557</v>
      </c>
      <c r="D1554" s="2">
        <v>0</v>
      </c>
      <c r="E1554" s="2" t="s">
        <v>0</v>
      </c>
      <c r="G1554" s="1" t="s">
        <v>786</v>
      </c>
      <c r="H1554" s="2">
        <v>1</v>
      </c>
      <c r="J1554" s="15">
        <v>21.6</v>
      </c>
      <c r="K1554" s="40">
        <v>0</v>
      </c>
    </row>
    <row r="1555" spans="1:11" x14ac:dyDescent="0.25">
      <c r="A1555" s="1">
        <v>2372292</v>
      </c>
      <c r="B1555" s="1" t="s">
        <v>1558</v>
      </c>
      <c r="D1555" s="2">
        <v>0</v>
      </c>
      <c r="E1555" s="2" t="s">
        <v>0</v>
      </c>
      <c r="G1555" s="1" t="s">
        <v>786</v>
      </c>
      <c r="H1555" s="2">
        <v>1</v>
      </c>
      <c r="I1555" s="2">
        <v>7</v>
      </c>
      <c r="J1555" s="15">
        <v>24.35</v>
      </c>
      <c r="K1555" s="40">
        <v>0</v>
      </c>
    </row>
    <row r="1556" spans="1:11" x14ac:dyDescent="0.25">
      <c r="A1556" s="1">
        <v>2372456</v>
      </c>
      <c r="B1556" s="1" t="s">
        <v>1559</v>
      </c>
      <c r="D1556" s="2">
        <v>0</v>
      </c>
      <c r="E1556" s="2" t="s">
        <v>0</v>
      </c>
      <c r="G1556" s="1" t="s">
        <v>786</v>
      </c>
      <c r="H1556" s="2">
        <v>1</v>
      </c>
      <c r="I1556" s="2">
        <v>28</v>
      </c>
      <c r="J1556" s="15">
        <v>3.79</v>
      </c>
      <c r="K1556" s="40">
        <v>0</v>
      </c>
    </row>
    <row r="1557" spans="1:11" x14ac:dyDescent="0.25">
      <c r="A1557" s="1">
        <v>2372457</v>
      </c>
      <c r="B1557" s="1" t="s">
        <v>1560</v>
      </c>
      <c r="D1557" s="2">
        <v>0</v>
      </c>
      <c r="E1557" s="2" t="s">
        <v>0</v>
      </c>
      <c r="G1557" s="1" t="s">
        <v>786</v>
      </c>
      <c r="H1557" s="2">
        <v>1</v>
      </c>
      <c r="I1557" s="2">
        <v>28</v>
      </c>
      <c r="J1557" s="15">
        <v>9.99</v>
      </c>
      <c r="K1557" s="40">
        <v>0</v>
      </c>
    </row>
    <row r="1558" spans="1:11" x14ac:dyDescent="0.25">
      <c r="A1558" s="1">
        <v>2373113</v>
      </c>
      <c r="B1558" s="1" t="s">
        <v>1561</v>
      </c>
      <c r="D1558" s="2">
        <v>0</v>
      </c>
      <c r="E1558" s="2" t="s">
        <v>0</v>
      </c>
      <c r="G1558" s="1" t="s">
        <v>786</v>
      </c>
      <c r="H1558" s="2">
        <v>1</v>
      </c>
      <c r="I1558" s="2">
        <v>7</v>
      </c>
      <c r="K1558" s="40">
        <v>0</v>
      </c>
    </row>
    <row r="1559" spans="1:11" x14ac:dyDescent="0.25">
      <c r="A1559" s="1">
        <v>2373371</v>
      </c>
      <c r="B1559" s="1" t="s">
        <v>1562</v>
      </c>
      <c r="D1559" s="2">
        <v>0</v>
      </c>
      <c r="E1559" s="2" t="s">
        <v>0</v>
      </c>
      <c r="G1559" s="1" t="s">
        <v>1969</v>
      </c>
      <c r="H1559" s="2">
        <v>1</v>
      </c>
      <c r="I1559" s="2">
        <v>28</v>
      </c>
      <c r="J1559" s="15">
        <v>111.98</v>
      </c>
      <c r="K1559" s="40">
        <v>0</v>
      </c>
    </row>
    <row r="1560" spans="1:11" x14ac:dyDescent="0.25">
      <c r="A1560" s="1">
        <v>2373559</v>
      </c>
      <c r="B1560" s="1" t="s">
        <v>1563</v>
      </c>
      <c r="D1560" s="2">
        <v>0</v>
      </c>
      <c r="E1560" s="2" t="s">
        <v>0</v>
      </c>
      <c r="G1560" s="1" t="s">
        <v>1968</v>
      </c>
      <c r="H1560" s="2">
        <v>1</v>
      </c>
      <c r="J1560" s="15">
        <v>2672.86</v>
      </c>
      <c r="K1560" s="40">
        <v>0</v>
      </c>
    </row>
    <row r="1561" spans="1:11" x14ac:dyDescent="0.25">
      <c r="A1561" s="1">
        <v>2373560</v>
      </c>
      <c r="B1561" s="1" t="s">
        <v>1564</v>
      </c>
      <c r="D1561" s="2">
        <v>0</v>
      </c>
      <c r="E1561" s="2" t="s">
        <v>0</v>
      </c>
      <c r="G1561" s="1" t="s">
        <v>1968</v>
      </c>
      <c r="H1561" s="2">
        <v>1</v>
      </c>
      <c r="J1561" s="15">
        <v>3088.73</v>
      </c>
      <c r="K1561" s="40">
        <v>0</v>
      </c>
    </row>
    <row r="1562" spans="1:11" x14ac:dyDescent="0.25">
      <c r="A1562" s="1">
        <v>2373561</v>
      </c>
      <c r="B1562" s="1" t="s">
        <v>1565</v>
      </c>
      <c r="D1562" s="2">
        <v>0</v>
      </c>
      <c r="E1562" s="2" t="s">
        <v>0</v>
      </c>
      <c r="G1562" s="1" t="s">
        <v>1968</v>
      </c>
      <c r="H1562" s="2">
        <v>1</v>
      </c>
      <c r="J1562" s="15">
        <v>3920.44</v>
      </c>
      <c r="K1562" s="40">
        <v>0</v>
      </c>
    </row>
    <row r="1563" spans="1:11" x14ac:dyDescent="0.25">
      <c r="A1563" s="1">
        <v>2373562</v>
      </c>
      <c r="B1563" s="1" t="s">
        <v>1566</v>
      </c>
      <c r="D1563" s="2">
        <v>0</v>
      </c>
      <c r="E1563" s="2" t="s">
        <v>0</v>
      </c>
      <c r="G1563" s="1" t="s">
        <v>1968</v>
      </c>
      <c r="H1563" s="2">
        <v>1</v>
      </c>
      <c r="J1563" s="15">
        <v>6686.35</v>
      </c>
      <c r="K1563" s="40">
        <v>0</v>
      </c>
    </row>
    <row r="1564" spans="1:11" x14ac:dyDescent="0.25">
      <c r="A1564" s="1">
        <v>2373563</v>
      </c>
      <c r="B1564" s="1" t="s">
        <v>1567</v>
      </c>
      <c r="D1564" s="2">
        <v>0</v>
      </c>
      <c r="E1564" s="2" t="s">
        <v>0</v>
      </c>
      <c r="G1564" s="1" t="s">
        <v>1968</v>
      </c>
      <c r="H1564" s="2">
        <v>1</v>
      </c>
      <c r="J1564" s="15">
        <v>9361.58</v>
      </c>
      <c r="K1564" s="40">
        <v>0</v>
      </c>
    </row>
    <row r="1565" spans="1:11" x14ac:dyDescent="0.25">
      <c r="A1565" s="1">
        <v>2373564</v>
      </c>
      <c r="B1565" s="1" t="s">
        <v>1568</v>
      </c>
      <c r="D1565" s="2">
        <v>0</v>
      </c>
      <c r="E1565" s="2" t="s">
        <v>0</v>
      </c>
      <c r="G1565" s="1" t="s">
        <v>1968</v>
      </c>
      <c r="H1565" s="2">
        <v>1</v>
      </c>
      <c r="J1565" s="15">
        <v>49.69</v>
      </c>
      <c r="K1565" s="40">
        <v>0</v>
      </c>
    </row>
    <row r="1566" spans="1:11" x14ac:dyDescent="0.25">
      <c r="A1566" s="1">
        <v>2374769</v>
      </c>
      <c r="B1566" s="1" t="s">
        <v>1569</v>
      </c>
      <c r="D1566" s="2">
        <v>0</v>
      </c>
      <c r="E1566" s="2" t="s">
        <v>0</v>
      </c>
      <c r="G1566" s="1" t="s">
        <v>1968</v>
      </c>
      <c r="H1566" s="2">
        <v>1</v>
      </c>
      <c r="J1566" s="15">
        <v>16.489999999999998</v>
      </c>
      <c r="K1566" s="40">
        <v>0</v>
      </c>
    </row>
    <row r="1567" spans="1:11" x14ac:dyDescent="0.25">
      <c r="A1567" s="1">
        <v>2375446</v>
      </c>
      <c r="B1567" s="1" t="s">
        <v>1570</v>
      </c>
      <c r="D1567" s="2">
        <v>0</v>
      </c>
      <c r="E1567" s="2" t="s">
        <v>131</v>
      </c>
      <c r="G1567" s="1" t="s">
        <v>1968</v>
      </c>
      <c r="H1567" s="2">
        <v>1</v>
      </c>
      <c r="J1567" s="15">
        <v>19.62</v>
      </c>
      <c r="K1567" s="40">
        <v>0</v>
      </c>
    </row>
    <row r="1568" spans="1:11" x14ac:dyDescent="0.25">
      <c r="A1568" s="1">
        <v>2375447</v>
      </c>
      <c r="B1568" s="1" t="s">
        <v>1571</v>
      </c>
      <c r="D1568" s="2">
        <v>0</v>
      </c>
      <c r="E1568" s="2" t="s">
        <v>131</v>
      </c>
      <c r="G1568" s="1" t="s">
        <v>1969</v>
      </c>
      <c r="H1568" s="2">
        <v>1</v>
      </c>
      <c r="I1568" s="2">
        <v>42</v>
      </c>
      <c r="J1568" s="15">
        <v>22.57</v>
      </c>
      <c r="K1568" s="40">
        <v>0</v>
      </c>
    </row>
    <row r="1569" spans="1:11" x14ac:dyDescent="0.25">
      <c r="A1569" s="1">
        <v>2375449</v>
      </c>
      <c r="B1569" s="1" t="s">
        <v>1572</v>
      </c>
      <c r="D1569" s="2">
        <v>0</v>
      </c>
      <c r="E1569" s="2" t="s">
        <v>131</v>
      </c>
      <c r="G1569" s="1" t="s">
        <v>1969</v>
      </c>
      <c r="H1569" s="2">
        <v>1</v>
      </c>
      <c r="I1569" s="2">
        <v>42</v>
      </c>
      <c r="J1569" s="15">
        <v>20.27</v>
      </c>
      <c r="K1569" s="40">
        <v>0</v>
      </c>
    </row>
    <row r="1570" spans="1:11" x14ac:dyDescent="0.25">
      <c r="A1570" s="1">
        <v>2375451</v>
      </c>
      <c r="B1570" s="1" t="s">
        <v>1573</v>
      </c>
      <c r="D1570" s="2">
        <v>0</v>
      </c>
      <c r="E1570" s="2" t="s">
        <v>131</v>
      </c>
      <c r="G1570" s="1" t="s">
        <v>1968</v>
      </c>
      <c r="H1570" s="2">
        <v>1</v>
      </c>
      <c r="J1570" s="15">
        <v>17.96</v>
      </c>
      <c r="K1570" s="40">
        <v>0</v>
      </c>
    </row>
    <row r="1571" spans="1:11" x14ac:dyDescent="0.25">
      <c r="A1571" s="1">
        <v>2375452</v>
      </c>
      <c r="B1571" s="1" t="s">
        <v>1574</v>
      </c>
      <c r="D1571" s="2">
        <v>0</v>
      </c>
      <c r="E1571" s="2" t="s">
        <v>131</v>
      </c>
      <c r="G1571" s="1" t="s">
        <v>1969</v>
      </c>
      <c r="H1571" s="2">
        <v>1</v>
      </c>
      <c r="I1571" s="2">
        <v>42</v>
      </c>
      <c r="J1571" s="15">
        <v>18.54</v>
      </c>
      <c r="K1571" s="40">
        <v>0</v>
      </c>
    </row>
    <row r="1572" spans="1:11" x14ac:dyDescent="0.25">
      <c r="A1572" s="1">
        <v>2375453</v>
      </c>
      <c r="B1572" s="1" t="s">
        <v>1575</v>
      </c>
      <c r="D1572" s="2">
        <v>0</v>
      </c>
      <c r="E1572" s="2" t="s">
        <v>131</v>
      </c>
      <c r="G1572" s="1" t="s">
        <v>1968</v>
      </c>
      <c r="H1572" s="2">
        <v>1</v>
      </c>
      <c r="J1572" s="15">
        <v>28.47</v>
      </c>
      <c r="K1572" s="40">
        <v>0</v>
      </c>
    </row>
    <row r="1573" spans="1:11" x14ac:dyDescent="0.25">
      <c r="A1573" s="1">
        <v>2375459</v>
      </c>
      <c r="B1573" s="1" t="s">
        <v>1576</v>
      </c>
      <c r="D1573" s="2">
        <v>0</v>
      </c>
      <c r="E1573" s="2" t="s">
        <v>131</v>
      </c>
      <c r="G1573" s="1" t="s">
        <v>1969</v>
      </c>
      <c r="H1573" s="2">
        <v>1</v>
      </c>
      <c r="I1573" s="2">
        <v>42</v>
      </c>
      <c r="J1573" s="15">
        <v>21.83</v>
      </c>
      <c r="K1573" s="40">
        <v>0</v>
      </c>
    </row>
    <row r="1574" spans="1:11" x14ac:dyDescent="0.25">
      <c r="A1574" s="1">
        <v>2375730</v>
      </c>
      <c r="B1574" s="1" t="s">
        <v>1577</v>
      </c>
      <c r="D1574" s="2">
        <v>0</v>
      </c>
      <c r="E1574" s="2" t="s">
        <v>0</v>
      </c>
      <c r="G1574" s="1" t="s">
        <v>1968</v>
      </c>
      <c r="H1574" s="2">
        <v>1</v>
      </c>
      <c r="J1574" s="15">
        <v>748.98</v>
      </c>
      <c r="K1574" s="40">
        <v>0</v>
      </c>
    </row>
    <row r="1575" spans="1:11" x14ac:dyDescent="0.25">
      <c r="A1575" s="1">
        <v>2375731</v>
      </c>
      <c r="B1575" s="1" t="s">
        <v>1578</v>
      </c>
      <c r="D1575" s="2">
        <v>0</v>
      </c>
      <c r="E1575" s="2" t="s">
        <v>0</v>
      </c>
      <c r="G1575" s="1" t="s">
        <v>1968</v>
      </c>
      <c r="H1575" s="2">
        <v>1</v>
      </c>
      <c r="J1575" s="15">
        <v>35.380000000000003</v>
      </c>
      <c r="K1575" s="40">
        <v>0</v>
      </c>
    </row>
    <row r="1576" spans="1:11" x14ac:dyDescent="0.25">
      <c r="A1576" s="1">
        <v>2375732</v>
      </c>
      <c r="B1576" s="1" t="s">
        <v>1579</v>
      </c>
      <c r="D1576" s="2">
        <v>0</v>
      </c>
      <c r="E1576" s="2" t="s">
        <v>0</v>
      </c>
      <c r="G1576" s="1" t="s">
        <v>1968</v>
      </c>
      <c r="H1576" s="2">
        <v>1</v>
      </c>
      <c r="J1576" s="15">
        <v>35.380000000000003</v>
      </c>
      <c r="K1576" s="40">
        <v>0</v>
      </c>
    </row>
    <row r="1577" spans="1:11" x14ac:dyDescent="0.25">
      <c r="A1577" s="1">
        <v>2375733</v>
      </c>
      <c r="B1577" s="1" t="s">
        <v>1580</v>
      </c>
      <c r="D1577" s="2">
        <v>0</v>
      </c>
      <c r="E1577" s="2" t="s">
        <v>131</v>
      </c>
      <c r="G1577" s="1" t="s">
        <v>1968</v>
      </c>
      <c r="H1577" s="2">
        <v>1</v>
      </c>
      <c r="J1577" s="15">
        <v>42.46</v>
      </c>
      <c r="K1577" s="40">
        <v>0</v>
      </c>
    </row>
    <row r="1578" spans="1:11" x14ac:dyDescent="0.25">
      <c r="A1578" s="1">
        <v>2376011</v>
      </c>
      <c r="B1578" s="1" t="s">
        <v>1581</v>
      </c>
      <c r="D1578" s="2">
        <v>0</v>
      </c>
      <c r="E1578" s="2" t="s">
        <v>302</v>
      </c>
      <c r="G1578" s="1" t="s">
        <v>1969</v>
      </c>
      <c r="H1578" s="2">
        <v>1</v>
      </c>
      <c r="I1578" s="2">
        <v>7</v>
      </c>
      <c r="J1578" s="15">
        <v>14.4</v>
      </c>
      <c r="K1578" s="40">
        <v>0</v>
      </c>
    </row>
    <row r="1579" spans="1:11" x14ac:dyDescent="0.25">
      <c r="A1579" s="1">
        <v>2376073</v>
      </c>
      <c r="B1579" s="1" t="s">
        <v>1582</v>
      </c>
      <c r="D1579" s="2">
        <v>0</v>
      </c>
      <c r="E1579" s="2" t="s">
        <v>0</v>
      </c>
      <c r="G1579" s="1" t="s">
        <v>1968</v>
      </c>
      <c r="H1579" s="2">
        <v>1</v>
      </c>
      <c r="J1579" s="15">
        <v>208.96</v>
      </c>
      <c r="K1579" s="40">
        <v>0</v>
      </c>
    </row>
    <row r="1580" spans="1:11" x14ac:dyDescent="0.25">
      <c r="A1580" s="1">
        <v>2376074</v>
      </c>
      <c r="B1580" s="1" t="s">
        <v>1583</v>
      </c>
      <c r="D1580" s="2">
        <v>0</v>
      </c>
      <c r="E1580" s="2" t="s">
        <v>0</v>
      </c>
      <c r="G1580" s="1" t="s">
        <v>1968</v>
      </c>
      <c r="H1580" s="2">
        <v>1</v>
      </c>
      <c r="J1580" s="15">
        <v>241.79</v>
      </c>
      <c r="K1580" s="40">
        <v>0</v>
      </c>
    </row>
    <row r="1581" spans="1:11" x14ac:dyDescent="0.25">
      <c r="A1581" s="1">
        <v>2376180</v>
      </c>
      <c r="B1581" s="1" t="s">
        <v>1584</v>
      </c>
      <c r="D1581" s="2">
        <v>0</v>
      </c>
      <c r="E1581" s="2" t="s">
        <v>0</v>
      </c>
      <c r="G1581" s="1" t="s">
        <v>786</v>
      </c>
      <c r="H1581" s="2">
        <v>1</v>
      </c>
      <c r="I1581" s="2">
        <v>7</v>
      </c>
      <c r="J1581" s="15">
        <v>29.1</v>
      </c>
      <c r="K1581" s="40">
        <v>0</v>
      </c>
    </row>
    <row r="1582" spans="1:11" x14ac:dyDescent="0.25">
      <c r="A1582" s="1">
        <v>2376181</v>
      </c>
      <c r="B1582" s="1" t="s">
        <v>1585</v>
      </c>
      <c r="D1582" s="2">
        <v>0</v>
      </c>
      <c r="E1582" s="2" t="s">
        <v>0</v>
      </c>
      <c r="G1582" s="1" t="s">
        <v>786</v>
      </c>
      <c r="H1582" s="2">
        <v>1</v>
      </c>
      <c r="I1582" s="2">
        <v>7</v>
      </c>
      <c r="J1582" s="15">
        <v>59.13</v>
      </c>
      <c r="K1582" s="40">
        <v>0</v>
      </c>
    </row>
    <row r="1583" spans="1:11" x14ac:dyDescent="0.25">
      <c r="A1583" s="1">
        <v>2376541</v>
      </c>
      <c r="B1583" s="1" t="s">
        <v>1586</v>
      </c>
      <c r="D1583" s="2">
        <v>0</v>
      </c>
      <c r="E1583" s="2" t="s">
        <v>0</v>
      </c>
      <c r="G1583" s="1" t="s">
        <v>1969</v>
      </c>
      <c r="H1583" s="2">
        <v>1</v>
      </c>
      <c r="I1583" s="2">
        <v>21</v>
      </c>
      <c r="J1583" s="15">
        <v>12.15</v>
      </c>
      <c r="K1583" s="40">
        <v>0</v>
      </c>
    </row>
    <row r="1584" spans="1:11" x14ac:dyDescent="0.25">
      <c r="A1584" s="1">
        <v>2376575</v>
      </c>
      <c r="B1584" s="1" t="s">
        <v>1587</v>
      </c>
      <c r="D1584" s="2">
        <v>0</v>
      </c>
      <c r="E1584" s="2" t="s">
        <v>0</v>
      </c>
      <c r="G1584" s="1" t="s">
        <v>1969</v>
      </c>
      <c r="H1584" s="2">
        <v>1</v>
      </c>
      <c r="I1584" s="2">
        <v>21</v>
      </c>
      <c r="J1584" s="15">
        <v>15.22</v>
      </c>
      <c r="K1584" s="40">
        <v>0</v>
      </c>
    </row>
    <row r="1585" spans="1:11" x14ac:dyDescent="0.25">
      <c r="A1585" s="1">
        <v>2376580</v>
      </c>
      <c r="B1585" s="1" t="s">
        <v>1588</v>
      </c>
      <c r="D1585" s="2">
        <v>0</v>
      </c>
      <c r="E1585" s="2" t="s">
        <v>0</v>
      </c>
      <c r="G1585" s="1" t="s">
        <v>1969</v>
      </c>
      <c r="H1585" s="2">
        <v>1</v>
      </c>
      <c r="I1585" s="2">
        <v>21</v>
      </c>
      <c r="J1585" s="15">
        <v>16.97</v>
      </c>
      <c r="K1585" s="40">
        <v>0</v>
      </c>
    </row>
    <row r="1586" spans="1:11" x14ac:dyDescent="0.25">
      <c r="A1586" s="1">
        <v>2376582</v>
      </c>
      <c r="B1586" s="1" t="s">
        <v>1589</v>
      </c>
      <c r="D1586" s="2">
        <v>0</v>
      </c>
      <c r="E1586" s="2" t="s">
        <v>0</v>
      </c>
      <c r="G1586" s="1" t="s">
        <v>1969</v>
      </c>
      <c r="H1586" s="2">
        <v>1</v>
      </c>
      <c r="I1586" s="2">
        <v>21</v>
      </c>
      <c r="J1586" s="15">
        <v>17.47</v>
      </c>
      <c r="K1586" s="40">
        <v>0</v>
      </c>
    </row>
    <row r="1587" spans="1:11" x14ac:dyDescent="0.25">
      <c r="A1587" s="1">
        <v>2376589</v>
      </c>
      <c r="B1587" s="1" t="s">
        <v>1590</v>
      </c>
      <c r="D1587" s="2">
        <v>0</v>
      </c>
      <c r="E1587" s="2" t="s">
        <v>0</v>
      </c>
      <c r="G1587" s="1" t="s">
        <v>1968</v>
      </c>
      <c r="H1587" s="2">
        <v>1</v>
      </c>
      <c r="J1587" s="15">
        <v>4.7</v>
      </c>
      <c r="K1587" s="40">
        <v>0</v>
      </c>
    </row>
    <row r="1588" spans="1:11" x14ac:dyDescent="0.25">
      <c r="A1588" s="1">
        <v>2376596</v>
      </c>
      <c r="B1588" s="1" t="s">
        <v>1591</v>
      </c>
      <c r="D1588" s="2">
        <v>0</v>
      </c>
      <c r="E1588" s="2" t="s">
        <v>0</v>
      </c>
      <c r="G1588" s="1" t="s">
        <v>1969</v>
      </c>
      <c r="H1588" s="2">
        <v>1</v>
      </c>
      <c r="I1588" s="2">
        <v>21</v>
      </c>
      <c r="J1588" s="15">
        <v>6.08</v>
      </c>
      <c r="K1588" s="40">
        <v>0</v>
      </c>
    </row>
    <row r="1589" spans="1:11" x14ac:dyDescent="0.25">
      <c r="A1589" s="1">
        <v>2376597</v>
      </c>
      <c r="B1589" s="1" t="s">
        <v>1592</v>
      </c>
      <c r="D1589" s="2">
        <v>0</v>
      </c>
      <c r="E1589" s="2" t="s">
        <v>0</v>
      </c>
      <c r="G1589" s="1" t="s">
        <v>1969</v>
      </c>
      <c r="H1589" s="2">
        <v>1</v>
      </c>
      <c r="I1589" s="2">
        <v>21</v>
      </c>
      <c r="J1589" s="15">
        <v>12.09</v>
      </c>
      <c r="K1589" s="40">
        <v>0</v>
      </c>
    </row>
    <row r="1590" spans="1:11" x14ac:dyDescent="0.25">
      <c r="A1590" s="1">
        <v>2376599</v>
      </c>
      <c r="B1590" s="1" t="s">
        <v>1593</v>
      </c>
      <c r="D1590" s="2">
        <v>0</v>
      </c>
      <c r="E1590" s="2" t="s">
        <v>0</v>
      </c>
      <c r="G1590" s="1" t="s">
        <v>1969</v>
      </c>
      <c r="H1590" s="2">
        <v>1</v>
      </c>
      <c r="I1590" s="2">
        <v>21</v>
      </c>
      <c r="J1590" s="15">
        <v>6.83</v>
      </c>
      <c r="K1590" s="40">
        <v>0</v>
      </c>
    </row>
    <row r="1591" spans="1:11" x14ac:dyDescent="0.25">
      <c r="A1591" s="1">
        <v>2376603</v>
      </c>
      <c r="B1591" s="1" t="s">
        <v>1594</v>
      </c>
      <c r="D1591" s="2">
        <v>0</v>
      </c>
      <c r="E1591" s="2" t="s">
        <v>0</v>
      </c>
      <c r="G1591" s="1" t="s">
        <v>1969</v>
      </c>
      <c r="H1591" s="2">
        <v>1</v>
      </c>
      <c r="I1591" s="2">
        <v>21</v>
      </c>
      <c r="J1591" s="15">
        <v>10.23</v>
      </c>
      <c r="K1591" s="40">
        <v>0</v>
      </c>
    </row>
    <row r="1592" spans="1:11" x14ac:dyDescent="0.25">
      <c r="A1592" s="1">
        <v>2376608</v>
      </c>
      <c r="B1592" s="1" t="s">
        <v>1595</v>
      </c>
      <c r="D1592" s="2">
        <v>0</v>
      </c>
      <c r="E1592" s="2" t="s">
        <v>1901</v>
      </c>
      <c r="G1592" s="1" t="s">
        <v>1968</v>
      </c>
      <c r="H1592" s="2">
        <v>1</v>
      </c>
      <c r="J1592" s="15">
        <v>24.25</v>
      </c>
      <c r="K1592" s="40">
        <v>0</v>
      </c>
    </row>
    <row r="1593" spans="1:11" x14ac:dyDescent="0.25">
      <c r="A1593" s="1">
        <v>2376612</v>
      </c>
      <c r="B1593" s="1" t="s">
        <v>1596</v>
      </c>
      <c r="D1593" s="2">
        <v>0</v>
      </c>
      <c r="E1593" s="2" t="s">
        <v>0</v>
      </c>
      <c r="G1593" s="1" t="s">
        <v>786</v>
      </c>
      <c r="H1593" s="2">
        <v>1</v>
      </c>
      <c r="I1593" s="2">
        <v>14</v>
      </c>
      <c r="K1593" s="40">
        <v>0</v>
      </c>
    </row>
    <row r="1594" spans="1:11" x14ac:dyDescent="0.25">
      <c r="A1594" s="1">
        <v>2376636</v>
      </c>
      <c r="B1594" s="1" t="s">
        <v>1597</v>
      </c>
      <c r="D1594" s="2">
        <v>0</v>
      </c>
      <c r="E1594" s="2" t="s">
        <v>0</v>
      </c>
      <c r="G1594" s="1" t="s">
        <v>1968</v>
      </c>
      <c r="H1594" s="2">
        <v>1</v>
      </c>
      <c r="J1594" s="15">
        <v>4.7</v>
      </c>
      <c r="K1594" s="40">
        <v>0</v>
      </c>
    </row>
    <row r="1595" spans="1:11" x14ac:dyDescent="0.25">
      <c r="A1595" s="1">
        <v>2376637</v>
      </c>
      <c r="B1595" s="1" t="s">
        <v>1598</v>
      </c>
      <c r="D1595" s="2">
        <v>0</v>
      </c>
      <c r="E1595" s="2" t="s">
        <v>0</v>
      </c>
      <c r="G1595" s="1" t="s">
        <v>1969</v>
      </c>
      <c r="H1595" s="2">
        <v>1</v>
      </c>
      <c r="I1595" s="2">
        <v>21</v>
      </c>
      <c r="J1595" s="15">
        <v>4.9400000000000004</v>
      </c>
      <c r="K1595" s="40">
        <v>0</v>
      </c>
    </row>
    <row r="1596" spans="1:11" x14ac:dyDescent="0.25">
      <c r="A1596" s="1">
        <v>2376639</v>
      </c>
      <c r="B1596" s="1" t="s">
        <v>1599</v>
      </c>
      <c r="D1596" s="2">
        <v>0</v>
      </c>
      <c r="E1596" s="2" t="s">
        <v>0</v>
      </c>
      <c r="G1596" s="1" t="s">
        <v>1969</v>
      </c>
      <c r="H1596" s="2">
        <v>1</v>
      </c>
      <c r="I1596" s="2">
        <v>21</v>
      </c>
      <c r="J1596" s="15">
        <v>5.39</v>
      </c>
      <c r="K1596" s="40">
        <v>0</v>
      </c>
    </row>
    <row r="1597" spans="1:11" x14ac:dyDescent="0.25">
      <c r="A1597" s="1">
        <v>2376640</v>
      </c>
      <c r="B1597" s="1" t="s">
        <v>1600</v>
      </c>
      <c r="D1597" s="2">
        <v>0</v>
      </c>
      <c r="E1597" s="2" t="s">
        <v>0</v>
      </c>
      <c r="G1597" s="1" t="s">
        <v>1969</v>
      </c>
      <c r="H1597" s="2">
        <v>1</v>
      </c>
      <c r="I1597" s="2">
        <v>21</v>
      </c>
      <c r="J1597" s="15">
        <v>5.64</v>
      </c>
      <c r="K1597" s="40">
        <v>0</v>
      </c>
    </row>
    <row r="1598" spans="1:11" x14ac:dyDescent="0.25">
      <c r="A1598" s="1">
        <v>2376786</v>
      </c>
      <c r="B1598" s="1" t="s">
        <v>1601</v>
      </c>
      <c r="D1598" s="2">
        <v>0</v>
      </c>
      <c r="E1598" s="2" t="s">
        <v>0</v>
      </c>
      <c r="G1598" s="1" t="s">
        <v>786</v>
      </c>
      <c r="H1598" s="2">
        <v>1</v>
      </c>
      <c r="I1598" s="2">
        <v>7</v>
      </c>
      <c r="J1598" s="15">
        <v>1.26</v>
      </c>
      <c r="K1598" s="40">
        <v>0</v>
      </c>
    </row>
    <row r="1599" spans="1:11" x14ac:dyDescent="0.25">
      <c r="A1599" s="1">
        <v>2377411</v>
      </c>
      <c r="B1599" s="1" t="s">
        <v>1602</v>
      </c>
      <c r="D1599" s="2">
        <v>0</v>
      </c>
      <c r="E1599" s="2" t="s">
        <v>0</v>
      </c>
      <c r="G1599" s="1" t="s">
        <v>1968</v>
      </c>
      <c r="H1599" s="2">
        <v>1</v>
      </c>
      <c r="J1599" s="15">
        <v>248.28</v>
      </c>
      <c r="K1599" s="40">
        <v>0</v>
      </c>
    </row>
    <row r="1600" spans="1:11" x14ac:dyDescent="0.25">
      <c r="A1600" s="1">
        <v>2377412</v>
      </c>
      <c r="B1600" s="1" t="s">
        <v>1603</v>
      </c>
      <c r="D1600" s="2">
        <v>0</v>
      </c>
      <c r="E1600" s="2" t="s">
        <v>0</v>
      </c>
      <c r="G1600" s="1" t="s">
        <v>1968</v>
      </c>
      <c r="H1600" s="2">
        <v>1</v>
      </c>
      <c r="J1600" s="15">
        <v>429.47</v>
      </c>
      <c r="K1600" s="40">
        <v>0</v>
      </c>
    </row>
    <row r="1601" spans="1:11" x14ac:dyDescent="0.25">
      <c r="A1601" s="1">
        <v>2377413</v>
      </c>
      <c r="B1601" s="1" t="s">
        <v>1604</v>
      </c>
      <c r="D1601" s="2">
        <v>0</v>
      </c>
      <c r="E1601" s="2" t="s">
        <v>0</v>
      </c>
      <c r="G1601" s="1" t="s">
        <v>1968</v>
      </c>
      <c r="H1601" s="2">
        <v>1</v>
      </c>
      <c r="J1601" s="15">
        <v>785.69</v>
      </c>
      <c r="K1601" s="40">
        <v>0</v>
      </c>
    </row>
    <row r="1602" spans="1:11" x14ac:dyDescent="0.25">
      <c r="A1602" s="1">
        <v>2377414</v>
      </c>
      <c r="B1602" s="1" t="s">
        <v>1605</v>
      </c>
      <c r="D1602" s="2">
        <v>0</v>
      </c>
      <c r="E1602" s="2" t="s">
        <v>0</v>
      </c>
      <c r="G1602" s="1" t="s">
        <v>1968</v>
      </c>
      <c r="H1602" s="2">
        <v>1</v>
      </c>
      <c r="J1602" s="15">
        <v>1355.94</v>
      </c>
      <c r="K1602" s="40">
        <v>0</v>
      </c>
    </row>
    <row r="1603" spans="1:11" x14ac:dyDescent="0.25">
      <c r="A1603" s="1">
        <v>2377415</v>
      </c>
      <c r="B1603" s="1" t="s">
        <v>1606</v>
      </c>
      <c r="D1603" s="2">
        <v>0</v>
      </c>
      <c r="E1603" s="2" t="s">
        <v>0</v>
      </c>
      <c r="G1603" s="1" t="s">
        <v>1968</v>
      </c>
      <c r="H1603" s="2">
        <v>1</v>
      </c>
      <c r="J1603" s="15">
        <v>29.62</v>
      </c>
      <c r="K1603" s="40">
        <v>0</v>
      </c>
    </row>
    <row r="1604" spans="1:11" x14ac:dyDescent="0.25">
      <c r="A1604" s="1">
        <v>2377416</v>
      </c>
      <c r="B1604" s="1" t="s">
        <v>1607</v>
      </c>
      <c r="D1604" s="2">
        <v>0</v>
      </c>
      <c r="E1604" s="2" t="s">
        <v>0</v>
      </c>
      <c r="G1604" s="1" t="s">
        <v>1968</v>
      </c>
      <c r="H1604" s="2">
        <v>1</v>
      </c>
      <c r="J1604" s="15">
        <v>35.81</v>
      </c>
      <c r="K1604" s="40">
        <v>0</v>
      </c>
    </row>
    <row r="1605" spans="1:11" x14ac:dyDescent="0.25">
      <c r="A1605" s="1">
        <v>2377898</v>
      </c>
      <c r="B1605" s="1" t="s">
        <v>1608</v>
      </c>
      <c r="D1605" s="2">
        <v>0</v>
      </c>
      <c r="E1605" s="2" t="s">
        <v>131</v>
      </c>
      <c r="G1605" s="1" t="s">
        <v>1968</v>
      </c>
      <c r="H1605" s="2">
        <v>1</v>
      </c>
      <c r="J1605" s="15">
        <v>4.97</v>
      </c>
      <c r="K1605" s="40">
        <v>0</v>
      </c>
    </row>
    <row r="1606" spans="1:11" x14ac:dyDescent="0.25">
      <c r="A1606" s="1">
        <v>2378137</v>
      </c>
      <c r="B1606" s="1" t="s">
        <v>1609</v>
      </c>
      <c r="D1606" s="2">
        <v>0</v>
      </c>
      <c r="E1606" s="2" t="s">
        <v>0</v>
      </c>
      <c r="G1606" s="1" t="s">
        <v>786</v>
      </c>
      <c r="H1606" s="2">
        <v>1</v>
      </c>
      <c r="K1606" s="40">
        <v>0</v>
      </c>
    </row>
    <row r="1607" spans="1:11" x14ac:dyDescent="0.25">
      <c r="A1607" s="1">
        <v>2378146</v>
      </c>
      <c r="B1607" s="1" t="s">
        <v>1610</v>
      </c>
      <c r="D1607" s="2">
        <v>0</v>
      </c>
      <c r="E1607" s="2" t="s">
        <v>0</v>
      </c>
      <c r="G1607" s="1" t="s">
        <v>786</v>
      </c>
      <c r="H1607" s="2">
        <v>1</v>
      </c>
      <c r="K1607" s="40">
        <v>0</v>
      </c>
    </row>
    <row r="1608" spans="1:11" x14ac:dyDescent="0.25">
      <c r="A1608" s="1">
        <v>2378155</v>
      </c>
      <c r="B1608" s="1" t="s">
        <v>1611</v>
      </c>
      <c r="D1608" s="2">
        <v>0</v>
      </c>
      <c r="E1608" s="2" t="s">
        <v>0</v>
      </c>
      <c r="G1608" s="1" t="s">
        <v>786</v>
      </c>
      <c r="H1608" s="2">
        <v>1</v>
      </c>
      <c r="K1608" s="40">
        <v>0</v>
      </c>
    </row>
    <row r="1609" spans="1:11" x14ac:dyDescent="0.25">
      <c r="A1609" s="1">
        <v>2378453</v>
      </c>
      <c r="B1609" s="1" t="s">
        <v>1612</v>
      </c>
      <c r="D1609" s="2">
        <v>0</v>
      </c>
      <c r="E1609" s="2" t="s">
        <v>0</v>
      </c>
      <c r="G1609" s="1" t="s">
        <v>2058</v>
      </c>
      <c r="H1609" s="2">
        <v>1</v>
      </c>
      <c r="I1609" s="2">
        <v>21</v>
      </c>
      <c r="J1609" s="15">
        <v>2268.4</v>
      </c>
      <c r="K1609" s="40">
        <v>0</v>
      </c>
    </row>
    <row r="1610" spans="1:11" x14ac:dyDescent="0.25">
      <c r="A1610" s="1">
        <v>2378454</v>
      </c>
      <c r="B1610" s="1" t="s">
        <v>1613</v>
      </c>
      <c r="D1610" s="2">
        <v>0</v>
      </c>
      <c r="E1610" s="2" t="s">
        <v>0</v>
      </c>
      <c r="G1610" s="1" t="s">
        <v>2058</v>
      </c>
      <c r="H1610" s="2">
        <v>1</v>
      </c>
      <c r="I1610" s="2">
        <v>21</v>
      </c>
      <c r="J1610" s="15">
        <v>620.1</v>
      </c>
      <c r="K1610" s="40">
        <v>0</v>
      </c>
    </row>
    <row r="1611" spans="1:11" x14ac:dyDescent="0.25">
      <c r="A1611" s="1">
        <v>2379235</v>
      </c>
      <c r="B1611" s="1" t="s">
        <v>1614</v>
      </c>
      <c r="D1611" s="2">
        <v>0</v>
      </c>
      <c r="E1611" s="2" t="s">
        <v>0</v>
      </c>
      <c r="G1611" s="1" t="s">
        <v>2058</v>
      </c>
      <c r="H1611" s="2">
        <v>1</v>
      </c>
      <c r="I1611" s="2">
        <v>35</v>
      </c>
      <c r="J1611" s="15">
        <v>2957.4</v>
      </c>
      <c r="K1611" s="40">
        <v>0</v>
      </c>
    </row>
    <row r="1612" spans="1:11" x14ac:dyDescent="0.25">
      <c r="A1612" s="1">
        <v>2379238</v>
      </c>
      <c r="B1612" s="1" t="s">
        <v>1615</v>
      </c>
      <c r="D1612" s="2">
        <v>0</v>
      </c>
      <c r="E1612" s="2" t="s">
        <v>0</v>
      </c>
      <c r="G1612" s="1" t="s">
        <v>2058</v>
      </c>
      <c r="H1612" s="2">
        <v>1</v>
      </c>
      <c r="I1612" s="2">
        <v>35</v>
      </c>
      <c r="J1612" s="15">
        <v>226.77</v>
      </c>
      <c r="K1612" s="40">
        <v>0</v>
      </c>
    </row>
    <row r="1613" spans="1:11" x14ac:dyDescent="0.25">
      <c r="A1613" s="1">
        <v>2379298</v>
      </c>
      <c r="B1613" s="1" t="s">
        <v>1616</v>
      </c>
      <c r="D1613" s="2">
        <v>0</v>
      </c>
      <c r="E1613" s="2" t="s">
        <v>0</v>
      </c>
      <c r="G1613" s="1" t="s">
        <v>1969</v>
      </c>
      <c r="H1613" s="2">
        <v>1</v>
      </c>
      <c r="I1613" s="2">
        <v>35</v>
      </c>
      <c r="J1613" s="15">
        <v>448.8</v>
      </c>
      <c r="K1613" s="40">
        <v>0</v>
      </c>
    </row>
    <row r="1614" spans="1:11" x14ac:dyDescent="0.25">
      <c r="A1614" s="1">
        <v>2379339</v>
      </c>
      <c r="B1614" s="1" t="s">
        <v>1617</v>
      </c>
      <c r="D1614" s="2">
        <v>0</v>
      </c>
      <c r="E1614" s="2" t="s">
        <v>0</v>
      </c>
      <c r="G1614" s="1" t="s">
        <v>1969</v>
      </c>
      <c r="H1614" s="2">
        <v>1</v>
      </c>
      <c r="I1614" s="2">
        <v>42</v>
      </c>
      <c r="J1614" s="15">
        <v>12.09</v>
      </c>
      <c r="K1614" s="40">
        <v>0</v>
      </c>
    </row>
    <row r="1615" spans="1:11" x14ac:dyDescent="0.25">
      <c r="A1615" s="1">
        <v>2379504</v>
      </c>
      <c r="B1615" s="1" t="s">
        <v>1618</v>
      </c>
      <c r="D1615" s="2">
        <v>0</v>
      </c>
      <c r="E1615" s="2" t="s">
        <v>0</v>
      </c>
      <c r="G1615" s="1" t="s">
        <v>1968</v>
      </c>
      <c r="H1615" s="2">
        <v>500</v>
      </c>
      <c r="J1615" s="15">
        <v>1.1599999999999999</v>
      </c>
      <c r="K1615" s="40">
        <v>0</v>
      </c>
    </row>
    <row r="1616" spans="1:11" x14ac:dyDescent="0.25">
      <c r="A1616" s="1">
        <v>2379967</v>
      </c>
      <c r="B1616" s="1" t="s">
        <v>1619</v>
      </c>
      <c r="D1616" s="2">
        <v>0</v>
      </c>
      <c r="E1616" s="2" t="s">
        <v>0</v>
      </c>
      <c r="G1616" s="1" t="s">
        <v>1968</v>
      </c>
      <c r="H1616" s="2">
        <v>1</v>
      </c>
      <c r="J1616" s="15">
        <v>1.1299999999999999</v>
      </c>
      <c r="K1616" s="40">
        <v>0</v>
      </c>
    </row>
    <row r="1617" spans="1:11" x14ac:dyDescent="0.25">
      <c r="A1617" s="1">
        <v>2379973</v>
      </c>
      <c r="B1617" s="1" t="s">
        <v>1620</v>
      </c>
      <c r="D1617" s="2">
        <v>0</v>
      </c>
      <c r="E1617" s="2" t="s">
        <v>0</v>
      </c>
      <c r="G1617" s="1" t="s">
        <v>1968</v>
      </c>
      <c r="H1617" s="2">
        <v>1</v>
      </c>
      <c r="J1617" s="15">
        <v>4.3499999999999996</v>
      </c>
      <c r="K1617" s="40">
        <v>0</v>
      </c>
    </row>
    <row r="1618" spans="1:11" x14ac:dyDescent="0.25">
      <c r="A1618" s="1">
        <v>2379974</v>
      </c>
      <c r="B1618" s="1" t="s">
        <v>1621</v>
      </c>
      <c r="D1618" s="2">
        <v>0</v>
      </c>
      <c r="E1618" s="2" t="s">
        <v>0</v>
      </c>
      <c r="G1618" s="1" t="s">
        <v>1968</v>
      </c>
      <c r="H1618" s="2">
        <v>1</v>
      </c>
      <c r="J1618" s="15">
        <v>7.03</v>
      </c>
      <c r="K1618" s="40">
        <v>0</v>
      </c>
    </row>
    <row r="1619" spans="1:11" x14ac:dyDescent="0.25">
      <c r="A1619" s="1">
        <v>2380016</v>
      </c>
      <c r="B1619" s="1" t="s">
        <v>1622</v>
      </c>
      <c r="D1619" s="2">
        <v>0</v>
      </c>
      <c r="E1619" s="2" t="s">
        <v>56</v>
      </c>
      <c r="G1619" s="1" t="s">
        <v>1969</v>
      </c>
      <c r="H1619" s="2">
        <v>1</v>
      </c>
      <c r="I1619" s="2">
        <v>28</v>
      </c>
      <c r="J1619" s="15">
        <v>328.52</v>
      </c>
      <c r="K1619" s="40">
        <v>0</v>
      </c>
    </row>
    <row r="1620" spans="1:11" x14ac:dyDescent="0.25">
      <c r="A1620" s="1">
        <v>2380437</v>
      </c>
      <c r="B1620" s="1" t="s">
        <v>1623</v>
      </c>
      <c r="D1620" s="2">
        <v>0</v>
      </c>
      <c r="E1620" s="2" t="s">
        <v>0</v>
      </c>
      <c r="G1620" s="1" t="s">
        <v>1968</v>
      </c>
      <c r="H1620" s="2">
        <v>1</v>
      </c>
      <c r="J1620" s="15">
        <v>450.03</v>
      </c>
      <c r="K1620" s="40">
        <v>0</v>
      </c>
    </row>
    <row r="1621" spans="1:11" x14ac:dyDescent="0.25">
      <c r="A1621" s="1">
        <v>2381384</v>
      </c>
      <c r="B1621" s="1" t="s">
        <v>1624</v>
      </c>
      <c r="D1621" s="2">
        <v>0</v>
      </c>
      <c r="E1621" s="2" t="s">
        <v>0</v>
      </c>
      <c r="G1621" s="1" t="s">
        <v>1968</v>
      </c>
      <c r="H1621" s="2">
        <v>1</v>
      </c>
      <c r="J1621" s="15">
        <v>471.63</v>
      </c>
      <c r="K1621" s="40">
        <v>0</v>
      </c>
    </row>
    <row r="1622" spans="1:11" x14ac:dyDescent="0.25">
      <c r="A1622" s="1">
        <v>2381385</v>
      </c>
      <c r="B1622" s="1" t="s">
        <v>1625</v>
      </c>
      <c r="D1622" s="2">
        <v>0</v>
      </c>
      <c r="E1622" s="2" t="s">
        <v>0</v>
      </c>
      <c r="G1622" s="1" t="s">
        <v>1968</v>
      </c>
      <c r="H1622" s="2">
        <v>1</v>
      </c>
      <c r="J1622" s="15">
        <v>829.41</v>
      </c>
      <c r="K1622" s="40">
        <v>0</v>
      </c>
    </row>
    <row r="1623" spans="1:11" x14ac:dyDescent="0.25">
      <c r="A1623" s="1">
        <v>2381386</v>
      </c>
      <c r="B1623" s="1" t="s">
        <v>1626</v>
      </c>
      <c r="D1623" s="2">
        <v>0</v>
      </c>
      <c r="E1623" s="2" t="s">
        <v>0</v>
      </c>
      <c r="G1623" s="1" t="s">
        <v>1968</v>
      </c>
      <c r="H1623" s="2">
        <v>1</v>
      </c>
      <c r="J1623" s="15">
        <v>1806.65</v>
      </c>
      <c r="K1623" s="40">
        <v>0</v>
      </c>
    </row>
    <row r="1624" spans="1:11" x14ac:dyDescent="0.25">
      <c r="A1624" s="1">
        <v>2381387</v>
      </c>
      <c r="B1624" s="1" t="s">
        <v>1627</v>
      </c>
      <c r="D1624" s="2">
        <v>0</v>
      </c>
      <c r="E1624" s="2" t="s">
        <v>0</v>
      </c>
      <c r="G1624" s="1" t="s">
        <v>1968</v>
      </c>
      <c r="H1624" s="2">
        <v>1</v>
      </c>
      <c r="J1624" s="15">
        <v>2346.2800000000002</v>
      </c>
      <c r="K1624" s="40">
        <v>0</v>
      </c>
    </row>
    <row r="1625" spans="1:11" x14ac:dyDescent="0.25">
      <c r="A1625" s="1">
        <v>2381388</v>
      </c>
      <c r="B1625" s="1" t="s">
        <v>1628</v>
      </c>
      <c r="D1625" s="2">
        <v>0</v>
      </c>
      <c r="E1625" s="2" t="s">
        <v>0</v>
      </c>
      <c r="G1625" s="1" t="s">
        <v>1968</v>
      </c>
      <c r="H1625" s="2">
        <v>1</v>
      </c>
      <c r="J1625" s="15">
        <v>3296.92</v>
      </c>
      <c r="K1625" s="40">
        <v>0</v>
      </c>
    </row>
    <row r="1626" spans="1:11" x14ac:dyDescent="0.25">
      <c r="A1626" s="1">
        <v>2381389</v>
      </c>
      <c r="B1626" s="1" t="s">
        <v>1629</v>
      </c>
      <c r="D1626" s="2">
        <v>0</v>
      </c>
      <c r="E1626" s="2" t="s">
        <v>0</v>
      </c>
      <c r="G1626" s="1" t="s">
        <v>1968</v>
      </c>
      <c r="H1626" s="2">
        <v>1</v>
      </c>
      <c r="J1626" s="15">
        <v>3081.07</v>
      </c>
      <c r="K1626" s="40">
        <v>0</v>
      </c>
    </row>
    <row r="1627" spans="1:11" x14ac:dyDescent="0.25">
      <c r="A1627" s="1">
        <v>2381390</v>
      </c>
      <c r="B1627" s="1" t="s">
        <v>1630</v>
      </c>
      <c r="D1627" s="2">
        <v>0</v>
      </c>
      <c r="E1627" s="2" t="s">
        <v>0</v>
      </c>
      <c r="G1627" s="1" t="s">
        <v>1968</v>
      </c>
      <c r="H1627" s="2">
        <v>1</v>
      </c>
      <c r="J1627" s="15">
        <v>4058.31</v>
      </c>
      <c r="K1627" s="40">
        <v>0</v>
      </c>
    </row>
    <row r="1628" spans="1:11" x14ac:dyDescent="0.25">
      <c r="A1628" s="1">
        <v>2381391</v>
      </c>
      <c r="B1628" s="1" t="s">
        <v>1631</v>
      </c>
      <c r="D1628" s="2">
        <v>0</v>
      </c>
      <c r="E1628" s="2" t="s">
        <v>0</v>
      </c>
      <c r="G1628" s="1" t="s">
        <v>1968</v>
      </c>
      <c r="H1628" s="2">
        <v>1</v>
      </c>
      <c r="J1628" s="15">
        <v>5736.34</v>
      </c>
      <c r="K1628" s="40">
        <v>0</v>
      </c>
    </row>
    <row r="1629" spans="1:11" x14ac:dyDescent="0.25">
      <c r="A1629" s="1">
        <v>2381609</v>
      </c>
      <c r="B1629" s="1" t="s">
        <v>1632</v>
      </c>
      <c r="D1629" s="2">
        <v>0</v>
      </c>
      <c r="E1629" s="2" t="s">
        <v>0</v>
      </c>
      <c r="G1629" s="1" t="s">
        <v>1968</v>
      </c>
      <c r="H1629" s="2">
        <v>1</v>
      </c>
      <c r="J1629" s="15">
        <v>94.1</v>
      </c>
      <c r="K1629" s="40">
        <v>0</v>
      </c>
    </row>
    <row r="1630" spans="1:11" x14ac:dyDescent="0.25">
      <c r="A1630" s="1">
        <v>2381610</v>
      </c>
      <c r="B1630" s="1" t="s">
        <v>1633</v>
      </c>
      <c r="D1630" s="2">
        <v>0</v>
      </c>
      <c r="E1630" s="2" t="s">
        <v>0</v>
      </c>
      <c r="G1630" s="1" t="s">
        <v>1968</v>
      </c>
      <c r="H1630" s="2">
        <v>1</v>
      </c>
      <c r="J1630" s="15">
        <v>99.48</v>
      </c>
      <c r="K1630" s="40">
        <v>0</v>
      </c>
    </row>
    <row r="1631" spans="1:11" x14ac:dyDescent="0.25">
      <c r="A1631" s="1">
        <v>2382673</v>
      </c>
      <c r="B1631" s="1" t="s">
        <v>1634</v>
      </c>
      <c r="D1631" s="2">
        <v>0</v>
      </c>
      <c r="E1631" s="2" t="s">
        <v>0</v>
      </c>
      <c r="G1631" s="1" t="s">
        <v>1968</v>
      </c>
      <c r="H1631" s="2">
        <v>1</v>
      </c>
      <c r="J1631" s="15">
        <v>102.33</v>
      </c>
      <c r="K1631" s="40">
        <v>0</v>
      </c>
    </row>
    <row r="1632" spans="1:11" x14ac:dyDescent="0.25">
      <c r="A1632" s="1">
        <v>2382792</v>
      </c>
      <c r="B1632" s="1" t="s">
        <v>1635</v>
      </c>
      <c r="D1632" s="2">
        <v>0</v>
      </c>
      <c r="E1632" s="2" t="s">
        <v>0</v>
      </c>
      <c r="G1632" s="1" t="s">
        <v>1968</v>
      </c>
      <c r="H1632" s="2">
        <v>1</v>
      </c>
      <c r="J1632" s="15">
        <v>1284.53</v>
      </c>
      <c r="K1632" s="40">
        <v>0</v>
      </c>
    </row>
    <row r="1633" spans="1:11" x14ac:dyDescent="0.25">
      <c r="A1633" s="1">
        <v>2382915</v>
      </c>
      <c r="B1633" s="1" t="s">
        <v>1636</v>
      </c>
      <c r="D1633" s="2">
        <v>0</v>
      </c>
      <c r="E1633" s="2" t="s">
        <v>0</v>
      </c>
      <c r="G1633" s="1" t="s">
        <v>1968</v>
      </c>
      <c r="H1633" s="2">
        <v>1</v>
      </c>
      <c r="J1633" s="15">
        <v>7.91</v>
      </c>
      <c r="K1633" s="40">
        <v>0</v>
      </c>
    </row>
    <row r="1634" spans="1:11" x14ac:dyDescent="0.25">
      <c r="A1634" s="1">
        <v>2383541</v>
      </c>
      <c r="B1634" s="1" t="s">
        <v>1637</v>
      </c>
      <c r="D1634" s="2">
        <v>0</v>
      </c>
      <c r="E1634" s="2" t="s">
        <v>0</v>
      </c>
      <c r="G1634" s="1" t="s">
        <v>1968</v>
      </c>
      <c r="H1634" s="2">
        <v>1</v>
      </c>
      <c r="J1634" s="15">
        <v>18335.509999999998</v>
      </c>
      <c r="K1634" s="40">
        <v>0</v>
      </c>
    </row>
    <row r="1635" spans="1:11" x14ac:dyDescent="0.25">
      <c r="A1635" s="1">
        <v>2384134</v>
      </c>
      <c r="B1635" s="1" t="s">
        <v>1638</v>
      </c>
      <c r="D1635" s="2">
        <v>0</v>
      </c>
      <c r="E1635" s="2" t="s">
        <v>0</v>
      </c>
      <c r="G1635" s="1" t="s">
        <v>1968</v>
      </c>
      <c r="H1635" s="2">
        <v>1</v>
      </c>
      <c r="J1635" s="15">
        <v>14933.84</v>
      </c>
      <c r="K1635" s="40">
        <v>0</v>
      </c>
    </row>
    <row r="1636" spans="1:11" x14ac:dyDescent="0.25">
      <c r="A1636" s="1">
        <v>2384135</v>
      </c>
      <c r="B1636" s="1" t="s">
        <v>1639</v>
      </c>
      <c r="D1636" s="2">
        <v>0</v>
      </c>
      <c r="E1636" s="2" t="s">
        <v>0</v>
      </c>
      <c r="G1636" s="1" t="s">
        <v>786</v>
      </c>
      <c r="H1636" s="2">
        <v>1</v>
      </c>
      <c r="I1636" s="2">
        <v>14</v>
      </c>
      <c r="K1636" s="40">
        <v>0</v>
      </c>
    </row>
    <row r="1637" spans="1:11" x14ac:dyDescent="0.25">
      <c r="A1637" s="1">
        <v>2384136</v>
      </c>
      <c r="B1637" s="1" t="s">
        <v>1640</v>
      </c>
      <c r="D1637" s="2">
        <v>0</v>
      </c>
      <c r="E1637" s="2" t="s">
        <v>56</v>
      </c>
      <c r="G1637" s="1" t="s">
        <v>786</v>
      </c>
      <c r="H1637" s="2">
        <v>1</v>
      </c>
      <c r="I1637" s="2">
        <v>14</v>
      </c>
      <c r="J1637" s="15">
        <v>158.16</v>
      </c>
      <c r="K1637" s="40">
        <v>0</v>
      </c>
    </row>
    <row r="1638" spans="1:11" x14ac:dyDescent="0.25">
      <c r="A1638" s="1">
        <v>2384650</v>
      </c>
      <c r="B1638" s="1" t="s">
        <v>1641</v>
      </c>
      <c r="D1638" s="2">
        <v>0</v>
      </c>
      <c r="E1638" s="2" t="s">
        <v>0</v>
      </c>
      <c r="G1638" s="1" t="s">
        <v>1969</v>
      </c>
      <c r="H1638" s="2">
        <v>20</v>
      </c>
      <c r="I1638" s="2">
        <v>21</v>
      </c>
      <c r="J1638" s="15">
        <v>14.52</v>
      </c>
      <c r="K1638" s="40">
        <v>0</v>
      </c>
    </row>
    <row r="1639" spans="1:11" x14ac:dyDescent="0.25">
      <c r="A1639" s="1">
        <v>2384795</v>
      </c>
      <c r="B1639" s="1" t="s">
        <v>1642</v>
      </c>
      <c r="D1639" s="2">
        <v>0</v>
      </c>
      <c r="E1639" s="2" t="s">
        <v>0</v>
      </c>
      <c r="G1639" s="1" t="s">
        <v>786</v>
      </c>
      <c r="H1639" s="2">
        <v>1</v>
      </c>
      <c r="I1639" s="2">
        <v>1</v>
      </c>
      <c r="J1639" s="15">
        <v>4.3899999999999997</v>
      </c>
      <c r="K1639" s="40">
        <v>0</v>
      </c>
    </row>
    <row r="1640" spans="1:11" x14ac:dyDescent="0.25">
      <c r="A1640" s="1">
        <v>2384796</v>
      </c>
      <c r="B1640" s="1" t="s">
        <v>1643</v>
      </c>
      <c r="D1640" s="2">
        <v>0</v>
      </c>
      <c r="E1640" s="2" t="s">
        <v>0</v>
      </c>
      <c r="G1640" s="1" t="s">
        <v>786</v>
      </c>
      <c r="H1640" s="2">
        <v>5</v>
      </c>
      <c r="I1640" s="2">
        <v>1</v>
      </c>
      <c r="J1640" s="15">
        <v>2.17</v>
      </c>
      <c r="K1640" s="40">
        <v>0</v>
      </c>
    </row>
    <row r="1641" spans="1:11" x14ac:dyDescent="0.25">
      <c r="A1641" s="1">
        <v>2385069</v>
      </c>
      <c r="B1641" s="1" t="s">
        <v>1644</v>
      </c>
      <c r="D1641" s="2">
        <v>0</v>
      </c>
      <c r="E1641" s="2" t="s">
        <v>0</v>
      </c>
      <c r="G1641" s="1" t="s">
        <v>1968</v>
      </c>
      <c r="H1641" s="2">
        <v>1</v>
      </c>
      <c r="J1641" s="15">
        <v>569.44000000000005</v>
      </c>
      <c r="K1641" s="40">
        <v>0</v>
      </c>
    </row>
    <row r="1642" spans="1:11" x14ac:dyDescent="0.25">
      <c r="A1642" s="1">
        <v>2385443</v>
      </c>
      <c r="B1642" s="1" t="s">
        <v>1645</v>
      </c>
      <c r="D1642" s="2">
        <v>0</v>
      </c>
      <c r="E1642" s="2" t="s">
        <v>0</v>
      </c>
      <c r="G1642" s="1" t="s">
        <v>1968</v>
      </c>
      <c r="H1642" s="2">
        <v>1</v>
      </c>
      <c r="J1642" s="15">
        <v>481.26</v>
      </c>
      <c r="K1642" s="40">
        <v>0</v>
      </c>
    </row>
    <row r="1643" spans="1:11" x14ac:dyDescent="0.25">
      <c r="A1643" s="1">
        <v>2385458</v>
      </c>
      <c r="B1643" s="1" t="s">
        <v>1646</v>
      </c>
      <c r="D1643" s="2">
        <v>0</v>
      </c>
      <c r="E1643" s="2" t="s">
        <v>0</v>
      </c>
      <c r="G1643" s="1" t="s">
        <v>786</v>
      </c>
      <c r="H1643" s="2">
        <v>1</v>
      </c>
      <c r="I1643" s="2">
        <v>14</v>
      </c>
      <c r="J1643" s="15">
        <v>36.11</v>
      </c>
      <c r="K1643" s="40">
        <v>0</v>
      </c>
    </row>
    <row r="1644" spans="1:11" x14ac:dyDescent="0.25">
      <c r="A1644" s="1">
        <v>2385565</v>
      </c>
      <c r="B1644" s="1" t="s">
        <v>1647</v>
      </c>
      <c r="D1644" s="2">
        <v>0</v>
      </c>
      <c r="E1644" s="2" t="s">
        <v>0</v>
      </c>
      <c r="G1644" s="1" t="s">
        <v>2058</v>
      </c>
      <c r="H1644" s="2">
        <v>1</v>
      </c>
      <c r="I1644" s="2">
        <v>42</v>
      </c>
      <c r="J1644" s="15">
        <v>5262.9</v>
      </c>
      <c r="K1644" s="40">
        <v>0</v>
      </c>
    </row>
    <row r="1645" spans="1:11" x14ac:dyDescent="0.25">
      <c r="A1645" s="1">
        <v>2385575</v>
      </c>
      <c r="B1645" s="1" t="s">
        <v>1648</v>
      </c>
      <c r="D1645" s="2">
        <v>0</v>
      </c>
      <c r="E1645" s="2" t="s">
        <v>0</v>
      </c>
      <c r="G1645" s="1" t="s">
        <v>2058</v>
      </c>
      <c r="H1645" s="2">
        <v>1</v>
      </c>
      <c r="I1645" s="2">
        <v>28</v>
      </c>
      <c r="J1645" s="15">
        <v>3390.94</v>
      </c>
      <c r="K1645" s="40">
        <v>0</v>
      </c>
    </row>
    <row r="1646" spans="1:11" x14ac:dyDescent="0.25">
      <c r="A1646" s="1">
        <v>2386476</v>
      </c>
      <c r="B1646" s="1" t="s">
        <v>1649</v>
      </c>
      <c r="D1646" s="2">
        <v>0</v>
      </c>
      <c r="E1646" s="2" t="s">
        <v>0</v>
      </c>
      <c r="G1646" s="1" t="s">
        <v>1968</v>
      </c>
      <c r="H1646" s="2">
        <v>1</v>
      </c>
      <c r="J1646" s="15">
        <v>15.27</v>
      </c>
      <c r="K1646" s="40">
        <v>0</v>
      </c>
    </row>
    <row r="1647" spans="1:11" x14ac:dyDescent="0.25">
      <c r="A1647" s="1">
        <v>2387856</v>
      </c>
      <c r="B1647" s="1" t="s">
        <v>1650</v>
      </c>
      <c r="D1647" s="2">
        <v>0</v>
      </c>
      <c r="E1647" s="2" t="s">
        <v>0</v>
      </c>
      <c r="G1647" s="1" t="s">
        <v>786</v>
      </c>
      <c r="H1647" s="2">
        <v>1</v>
      </c>
      <c r="I1647" s="2">
        <v>28</v>
      </c>
      <c r="J1647" s="15">
        <v>13805.15</v>
      </c>
      <c r="K1647" s="40">
        <v>0</v>
      </c>
    </row>
    <row r="1648" spans="1:11" x14ac:dyDescent="0.25">
      <c r="A1648" s="1">
        <v>2388357</v>
      </c>
      <c r="B1648" s="1" t="s">
        <v>1651</v>
      </c>
      <c r="D1648" s="2">
        <v>0</v>
      </c>
      <c r="E1648" s="2" t="s">
        <v>0</v>
      </c>
      <c r="G1648" s="1" t="s">
        <v>1968</v>
      </c>
      <c r="H1648" s="2">
        <v>1</v>
      </c>
      <c r="J1648" s="15">
        <v>17.55</v>
      </c>
      <c r="K1648" s="40">
        <v>0</v>
      </c>
    </row>
    <row r="1649" spans="1:11" x14ac:dyDescent="0.25">
      <c r="A1649" s="1">
        <v>2388358</v>
      </c>
      <c r="B1649" s="1" t="s">
        <v>1652</v>
      </c>
      <c r="D1649" s="2">
        <v>0</v>
      </c>
      <c r="E1649" s="2" t="s">
        <v>131</v>
      </c>
      <c r="G1649" s="1" t="s">
        <v>1968</v>
      </c>
      <c r="H1649" s="2">
        <v>1</v>
      </c>
      <c r="J1649" s="15">
        <v>196.93</v>
      </c>
      <c r="K1649" s="40">
        <v>0</v>
      </c>
    </row>
    <row r="1650" spans="1:11" x14ac:dyDescent="0.25">
      <c r="A1650" s="1">
        <v>2388359</v>
      </c>
      <c r="B1650" s="1" t="s">
        <v>1653</v>
      </c>
      <c r="D1650" s="2">
        <v>0</v>
      </c>
      <c r="E1650" s="2" t="s">
        <v>0</v>
      </c>
      <c r="G1650" s="1" t="s">
        <v>1968</v>
      </c>
      <c r="H1650" s="2">
        <v>1</v>
      </c>
      <c r="J1650" s="15">
        <v>3.05</v>
      </c>
      <c r="K1650" s="40">
        <v>0</v>
      </c>
    </row>
    <row r="1651" spans="1:11" x14ac:dyDescent="0.25">
      <c r="A1651" s="1">
        <v>2388538</v>
      </c>
      <c r="B1651" s="1" t="s">
        <v>1654</v>
      </c>
      <c r="D1651" s="2">
        <v>0</v>
      </c>
      <c r="E1651" s="2" t="s">
        <v>0</v>
      </c>
      <c r="G1651" s="1" t="s">
        <v>1968</v>
      </c>
      <c r="H1651" s="2">
        <v>1</v>
      </c>
      <c r="J1651" s="15">
        <v>355.04</v>
      </c>
      <c r="K1651" s="40">
        <v>0</v>
      </c>
    </row>
    <row r="1652" spans="1:11" x14ac:dyDescent="0.25">
      <c r="A1652" s="1">
        <v>2388539</v>
      </c>
      <c r="B1652" s="1" t="s">
        <v>1655</v>
      </c>
      <c r="D1652" s="2">
        <v>0</v>
      </c>
      <c r="E1652" s="2" t="s">
        <v>0</v>
      </c>
      <c r="G1652" s="1" t="s">
        <v>1968</v>
      </c>
      <c r="H1652" s="2">
        <v>1</v>
      </c>
      <c r="J1652" s="15">
        <v>374.27</v>
      </c>
      <c r="K1652" s="40">
        <v>0</v>
      </c>
    </row>
    <row r="1653" spans="1:11" x14ac:dyDescent="0.25">
      <c r="A1653" s="1">
        <v>2388540</v>
      </c>
      <c r="B1653" s="1" t="s">
        <v>1656</v>
      </c>
      <c r="D1653" s="2">
        <v>0</v>
      </c>
      <c r="E1653" s="2" t="s">
        <v>0</v>
      </c>
      <c r="G1653" s="1" t="s">
        <v>1968</v>
      </c>
      <c r="H1653" s="2">
        <v>1</v>
      </c>
      <c r="J1653" s="15">
        <v>453.73</v>
      </c>
      <c r="K1653" s="40">
        <v>0</v>
      </c>
    </row>
    <row r="1654" spans="1:11" x14ac:dyDescent="0.25">
      <c r="A1654" s="1">
        <v>2388541</v>
      </c>
      <c r="B1654" s="1" t="s">
        <v>1657</v>
      </c>
      <c r="D1654" s="2">
        <v>0</v>
      </c>
      <c r="E1654" s="2" t="s">
        <v>0</v>
      </c>
      <c r="G1654" s="1" t="s">
        <v>1968</v>
      </c>
      <c r="H1654" s="2">
        <v>1</v>
      </c>
      <c r="J1654" s="15">
        <v>492.18</v>
      </c>
      <c r="K1654" s="40">
        <v>0</v>
      </c>
    </row>
    <row r="1655" spans="1:11" x14ac:dyDescent="0.25">
      <c r="A1655" s="1">
        <v>2388542</v>
      </c>
      <c r="B1655" s="1" t="s">
        <v>1658</v>
      </c>
      <c r="D1655" s="2">
        <v>0</v>
      </c>
      <c r="E1655" s="2" t="s">
        <v>0</v>
      </c>
      <c r="G1655" s="1" t="s">
        <v>1968</v>
      </c>
      <c r="H1655" s="2">
        <v>1</v>
      </c>
      <c r="J1655" s="15">
        <v>531.91</v>
      </c>
      <c r="K1655" s="40">
        <v>0</v>
      </c>
    </row>
    <row r="1656" spans="1:11" x14ac:dyDescent="0.25">
      <c r="A1656" s="1">
        <v>2388543</v>
      </c>
      <c r="B1656" s="1" t="s">
        <v>1659</v>
      </c>
      <c r="D1656" s="2">
        <v>0</v>
      </c>
      <c r="E1656" s="2" t="s">
        <v>0</v>
      </c>
      <c r="G1656" s="1" t="s">
        <v>1968</v>
      </c>
      <c r="H1656" s="2">
        <v>1</v>
      </c>
      <c r="J1656" s="15">
        <v>551.13</v>
      </c>
      <c r="K1656" s="40">
        <v>0</v>
      </c>
    </row>
    <row r="1657" spans="1:11" x14ac:dyDescent="0.25">
      <c r="A1657" s="1">
        <v>2388544</v>
      </c>
      <c r="B1657" s="1" t="s">
        <v>1660</v>
      </c>
      <c r="D1657" s="2">
        <v>0</v>
      </c>
      <c r="E1657" s="2" t="s">
        <v>0</v>
      </c>
      <c r="G1657" s="1" t="s">
        <v>1968</v>
      </c>
      <c r="H1657" s="2">
        <v>1</v>
      </c>
      <c r="J1657" s="15">
        <v>570.36</v>
      </c>
      <c r="K1657" s="40">
        <v>0</v>
      </c>
    </row>
    <row r="1658" spans="1:11" x14ac:dyDescent="0.25">
      <c r="A1658" s="1">
        <v>2388545</v>
      </c>
      <c r="B1658" s="1" t="s">
        <v>1661</v>
      </c>
      <c r="D1658" s="2">
        <v>0</v>
      </c>
      <c r="E1658" s="2" t="s">
        <v>0</v>
      </c>
      <c r="G1658" s="1" t="s">
        <v>1968</v>
      </c>
      <c r="H1658" s="2">
        <v>1</v>
      </c>
      <c r="J1658" s="15">
        <v>610.07000000000005</v>
      </c>
      <c r="K1658" s="40">
        <v>0</v>
      </c>
    </row>
    <row r="1659" spans="1:11" x14ac:dyDescent="0.25">
      <c r="A1659" s="1">
        <v>2388546</v>
      </c>
      <c r="B1659" s="1" t="s">
        <v>1662</v>
      </c>
      <c r="D1659" s="2">
        <v>0</v>
      </c>
      <c r="E1659" s="2" t="s">
        <v>0</v>
      </c>
      <c r="G1659" s="1" t="s">
        <v>1968</v>
      </c>
      <c r="H1659" s="2">
        <v>1</v>
      </c>
      <c r="J1659" s="15">
        <v>649.79999999999995</v>
      </c>
      <c r="K1659" s="40">
        <v>0</v>
      </c>
    </row>
    <row r="1660" spans="1:11" x14ac:dyDescent="0.25">
      <c r="A1660" s="1">
        <v>2388547</v>
      </c>
      <c r="B1660" s="1" t="s">
        <v>1663</v>
      </c>
      <c r="D1660" s="2">
        <v>0</v>
      </c>
      <c r="E1660" s="2" t="s">
        <v>0</v>
      </c>
      <c r="G1660" s="1" t="s">
        <v>1968</v>
      </c>
      <c r="H1660" s="2">
        <v>1</v>
      </c>
      <c r="J1660" s="15">
        <v>726.7</v>
      </c>
      <c r="K1660" s="40">
        <v>0</v>
      </c>
    </row>
    <row r="1661" spans="1:11" x14ac:dyDescent="0.25">
      <c r="A1661" s="1">
        <v>2389286</v>
      </c>
      <c r="B1661" s="1" t="s">
        <v>1664</v>
      </c>
      <c r="D1661" s="2">
        <v>0</v>
      </c>
      <c r="E1661" s="2" t="s">
        <v>0</v>
      </c>
      <c r="G1661" s="1" t="s">
        <v>786</v>
      </c>
      <c r="H1661" s="2">
        <v>1</v>
      </c>
      <c r="I1661" s="2">
        <v>28</v>
      </c>
      <c r="J1661" s="15">
        <v>15.92</v>
      </c>
      <c r="K1661" s="40">
        <v>0</v>
      </c>
    </row>
    <row r="1662" spans="1:11" x14ac:dyDescent="0.25">
      <c r="A1662" s="1">
        <v>2389987</v>
      </c>
      <c r="B1662" s="1" t="s">
        <v>1665</v>
      </c>
      <c r="D1662" s="2">
        <v>0</v>
      </c>
      <c r="E1662" s="2" t="s">
        <v>0</v>
      </c>
      <c r="G1662" s="1" t="s">
        <v>1968</v>
      </c>
      <c r="H1662" s="2">
        <v>1</v>
      </c>
      <c r="J1662" s="15">
        <v>301.49</v>
      </c>
      <c r="K1662" s="40">
        <v>0</v>
      </c>
    </row>
    <row r="1663" spans="1:11" x14ac:dyDescent="0.25">
      <c r="A1663" s="1">
        <v>2389988</v>
      </c>
      <c r="B1663" s="1" t="s">
        <v>1666</v>
      </c>
      <c r="D1663" s="2">
        <v>0</v>
      </c>
      <c r="E1663" s="2" t="s">
        <v>0</v>
      </c>
      <c r="G1663" s="1" t="s">
        <v>1968</v>
      </c>
      <c r="H1663" s="2">
        <v>1</v>
      </c>
      <c r="J1663" s="15">
        <v>922.02</v>
      </c>
      <c r="K1663" s="40">
        <v>0</v>
      </c>
    </row>
    <row r="1664" spans="1:11" x14ac:dyDescent="0.25">
      <c r="A1664" s="1">
        <v>2389989</v>
      </c>
      <c r="B1664" s="1" t="s">
        <v>1667</v>
      </c>
      <c r="D1664" s="2">
        <v>0</v>
      </c>
      <c r="E1664" s="2" t="s">
        <v>0</v>
      </c>
      <c r="G1664" s="1" t="s">
        <v>1968</v>
      </c>
      <c r="H1664" s="2">
        <v>1</v>
      </c>
      <c r="J1664" s="15">
        <v>1185.6600000000001</v>
      </c>
      <c r="K1664" s="40">
        <v>0</v>
      </c>
    </row>
    <row r="1665" spans="1:11" x14ac:dyDescent="0.25">
      <c r="A1665" s="1">
        <v>2389990</v>
      </c>
      <c r="B1665" s="1" t="s">
        <v>1668</v>
      </c>
      <c r="D1665" s="2">
        <v>0</v>
      </c>
      <c r="E1665" s="2" t="s">
        <v>0</v>
      </c>
      <c r="G1665" s="1" t="s">
        <v>1968</v>
      </c>
      <c r="H1665" s="2">
        <v>1</v>
      </c>
      <c r="J1665" s="15">
        <v>1625.06</v>
      </c>
      <c r="K1665" s="40">
        <v>0</v>
      </c>
    </row>
    <row r="1666" spans="1:11" x14ac:dyDescent="0.25">
      <c r="A1666" s="1">
        <v>2390297</v>
      </c>
      <c r="B1666" s="1" t="s">
        <v>1669</v>
      </c>
      <c r="D1666" s="2">
        <v>0</v>
      </c>
      <c r="E1666" s="2" t="s">
        <v>0</v>
      </c>
      <c r="G1666" s="1" t="s">
        <v>1969</v>
      </c>
      <c r="H1666" s="2">
        <v>1</v>
      </c>
      <c r="I1666" s="2">
        <v>14</v>
      </c>
      <c r="K1666" s="40">
        <v>0</v>
      </c>
    </row>
    <row r="1667" spans="1:11" x14ac:dyDescent="0.25">
      <c r="A1667" s="1">
        <v>2390828</v>
      </c>
      <c r="B1667" s="1" t="s">
        <v>1670</v>
      </c>
      <c r="D1667" s="2">
        <v>0</v>
      </c>
      <c r="E1667" s="2" t="s">
        <v>0</v>
      </c>
      <c r="G1667" s="1" t="s">
        <v>1968</v>
      </c>
      <c r="H1667" s="2">
        <v>1</v>
      </c>
      <c r="J1667" s="15">
        <v>600.25</v>
      </c>
      <c r="K1667" s="40">
        <v>0</v>
      </c>
    </row>
    <row r="1668" spans="1:11" x14ac:dyDescent="0.25">
      <c r="A1668" s="1">
        <v>2391897</v>
      </c>
      <c r="B1668" s="1" t="s">
        <v>1671</v>
      </c>
      <c r="D1668" s="2">
        <v>0</v>
      </c>
      <c r="E1668" s="2" t="s">
        <v>0</v>
      </c>
      <c r="G1668" s="1" t="s">
        <v>1968</v>
      </c>
      <c r="H1668" s="2">
        <v>1</v>
      </c>
      <c r="J1668" s="15">
        <v>134.33000000000001</v>
      </c>
      <c r="K1668" s="40">
        <v>0</v>
      </c>
    </row>
    <row r="1669" spans="1:11" x14ac:dyDescent="0.25">
      <c r="A1669" s="1">
        <v>2391898</v>
      </c>
      <c r="B1669" s="1" t="s">
        <v>1672</v>
      </c>
      <c r="D1669" s="2">
        <v>0</v>
      </c>
      <c r="E1669" s="2" t="s">
        <v>0</v>
      </c>
      <c r="G1669" s="1" t="s">
        <v>1968</v>
      </c>
      <c r="H1669" s="2">
        <v>1</v>
      </c>
      <c r="J1669" s="15">
        <v>223.88</v>
      </c>
      <c r="K1669" s="40">
        <v>0</v>
      </c>
    </row>
    <row r="1670" spans="1:11" x14ac:dyDescent="0.25">
      <c r="A1670" s="1">
        <v>2391913</v>
      </c>
      <c r="B1670" s="1" t="s">
        <v>1673</v>
      </c>
      <c r="D1670" s="2">
        <v>0</v>
      </c>
      <c r="E1670" s="2" t="s">
        <v>0</v>
      </c>
      <c r="G1670" s="1" t="s">
        <v>1968</v>
      </c>
      <c r="H1670" s="2">
        <v>1</v>
      </c>
      <c r="J1670" s="15">
        <v>515.05999999999995</v>
      </c>
      <c r="K1670" s="40">
        <v>0</v>
      </c>
    </row>
    <row r="1671" spans="1:11" x14ac:dyDescent="0.25">
      <c r="A1671" s="1">
        <v>2391914</v>
      </c>
      <c r="B1671" s="1" t="s">
        <v>1674</v>
      </c>
      <c r="D1671" s="2">
        <v>0</v>
      </c>
      <c r="E1671" s="2" t="s">
        <v>0</v>
      </c>
      <c r="G1671" s="1" t="s">
        <v>1968</v>
      </c>
      <c r="H1671" s="2">
        <v>1</v>
      </c>
      <c r="J1671" s="15">
        <v>903.19</v>
      </c>
      <c r="K1671" s="40">
        <v>0</v>
      </c>
    </row>
    <row r="1672" spans="1:11" x14ac:dyDescent="0.25">
      <c r="A1672" s="1">
        <v>2391915</v>
      </c>
      <c r="B1672" s="1" t="s">
        <v>1675</v>
      </c>
      <c r="D1672" s="2">
        <v>0</v>
      </c>
      <c r="E1672" s="2" t="s">
        <v>0</v>
      </c>
      <c r="G1672" s="1" t="s">
        <v>1968</v>
      </c>
      <c r="H1672" s="2">
        <v>1</v>
      </c>
      <c r="J1672" s="15">
        <v>1087.04</v>
      </c>
      <c r="K1672" s="40">
        <v>0</v>
      </c>
    </row>
    <row r="1673" spans="1:11" x14ac:dyDescent="0.25">
      <c r="A1673" s="1">
        <v>2391916</v>
      </c>
      <c r="B1673" s="1" t="s">
        <v>1676</v>
      </c>
      <c r="D1673" s="2">
        <v>0</v>
      </c>
      <c r="E1673" s="2" t="s">
        <v>0</v>
      </c>
      <c r="G1673" s="1" t="s">
        <v>1968</v>
      </c>
      <c r="H1673" s="2">
        <v>1</v>
      </c>
      <c r="J1673" s="15">
        <v>892.14</v>
      </c>
      <c r="K1673" s="40">
        <v>0</v>
      </c>
    </row>
    <row r="1674" spans="1:11" x14ac:dyDescent="0.25">
      <c r="A1674" s="1">
        <v>2391917</v>
      </c>
      <c r="B1674" s="1" t="s">
        <v>1677</v>
      </c>
      <c r="D1674" s="2">
        <v>0</v>
      </c>
      <c r="E1674" s="2" t="s">
        <v>0</v>
      </c>
      <c r="G1674" s="1" t="s">
        <v>1968</v>
      </c>
      <c r="H1674" s="2">
        <v>1</v>
      </c>
      <c r="J1674" s="15">
        <v>1622.13</v>
      </c>
      <c r="K1674" s="40">
        <v>0</v>
      </c>
    </row>
    <row r="1675" spans="1:11" x14ac:dyDescent="0.25">
      <c r="A1675" s="1">
        <v>2391918</v>
      </c>
      <c r="B1675" s="1" t="s">
        <v>1678</v>
      </c>
      <c r="D1675" s="2">
        <v>0</v>
      </c>
      <c r="E1675" s="2" t="s">
        <v>0</v>
      </c>
      <c r="G1675" s="1" t="s">
        <v>1968</v>
      </c>
      <c r="H1675" s="2">
        <v>1</v>
      </c>
      <c r="J1675" s="15">
        <v>2806.98</v>
      </c>
      <c r="K1675" s="40">
        <v>0</v>
      </c>
    </row>
    <row r="1676" spans="1:11" x14ac:dyDescent="0.25">
      <c r="A1676" s="1">
        <v>2392180</v>
      </c>
      <c r="B1676" s="1" t="s">
        <v>1679</v>
      </c>
      <c r="D1676" s="2">
        <v>0</v>
      </c>
      <c r="E1676" s="2" t="s">
        <v>0</v>
      </c>
      <c r="G1676" s="1" t="s">
        <v>1968</v>
      </c>
      <c r="H1676" s="2">
        <v>1</v>
      </c>
      <c r="J1676" s="15">
        <v>5.41</v>
      </c>
      <c r="K1676" s="40">
        <v>0</v>
      </c>
    </row>
    <row r="1677" spans="1:11" x14ac:dyDescent="0.25">
      <c r="A1677" s="1">
        <v>2392788</v>
      </c>
      <c r="B1677" s="1" t="s">
        <v>1680</v>
      </c>
      <c r="D1677" s="2">
        <v>0</v>
      </c>
      <c r="E1677" s="2" t="s">
        <v>0</v>
      </c>
      <c r="G1677" s="1" t="s">
        <v>1968</v>
      </c>
      <c r="H1677" s="2">
        <v>1</v>
      </c>
      <c r="J1677" s="15">
        <v>13.14</v>
      </c>
      <c r="K1677" s="40">
        <v>0</v>
      </c>
    </row>
    <row r="1678" spans="1:11" x14ac:dyDescent="0.25">
      <c r="A1678" s="1">
        <v>2393418</v>
      </c>
      <c r="B1678" s="1" t="s">
        <v>1681</v>
      </c>
      <c r="D1678" s="2">
        <v>0</v>
      </c>
      <c r="E1678" s="2" t="s">
        <v>0</v>
      </c>
      <c r="G1678" s="1" t="s">
        <v>1968</v>
      </c>
      <c r="H1678" s="2">
        <v>1</v>
      </c>
      <c r="J1678" s="15">
        <v>531.14</v>
      </c>
      <c r="K1678" s="40">
        <v>0</v>
      </c>
    </row>
    <row r="1679" spans="1:11" x14ac:dyDescent="0.25">
      <c r="A1679" s="1">
        <v>2393786</v>
      </c>
      <c r="B1679" s="1" t="s">
        <v>1682</v>
      </c>
      <c r="D1679" s="2">
        <v>0</v>
      </c>
      <c r="E1679" s="2" t="s">
        <v>0</v>
      </c>
      <c r="G1679" s="1" t="s">
        <v>1968</v>
      </c>
      <c r="H1679" s="2">
        <v>1</v>
      </c>
      <c r="J1679" s="15">
        <v>3.87</v>
      </c>
      <c r="K1679" s="40">
        <v>0</v>
      </c>
    </row>
    <row r="1680" spans="1:11" x14ac:dyDescent="0.25">
      <c r="A1680" s="1">
        <v>2393847</v>
      </c>
      <c r="B1680" s="1" t="s">
        <v>1683</v>
      </c>
      <c r="D1680" s="2">
        <v>0</v>
      </c>
      <c r="E1680" s="2" t="s">
        <v>0</v>
      </c>
      <c r="G1680" s="1" t="s">
        <v>1968</v>
      </c>
      <c r="H1680" s="2">
        <v>1</v>
      </c>
      <c r="J1680" s="15">
        <v>4.6500000000000004</v>
      </c>
      <c r="K1680" s="40">
        <v>0</v>
      </c>
    </row>
    <row r="1681" spans="1:11" x14ac:dyDescent="0.25">
      <c r="A1681" s="1">
        <v>2393848</v>
      </c>
      <c r="B1681" s="1" t="s">
        <v>1684</v>
      </c>
      <c r="D1681" s="2">
        <v>0</v>
      </c>
      <c r="E1681" s="2" t="s">
        <v>0</v>
      </c>
      <c r="G1681" s="1" t="s">
        <v>1968</v>
      </c>
      <c r="H1681" s="2">
        <v>1</v>
      </c>
      <c r="J1681" s="15">
        <v>5.68</v>
      </c>
      <c r="K1681" s="40">
        <v>0</v>
      </c>
    </row>
    <row r="1682" spans="1:11" x14ac:dyDescent="0.25">
      <c r="A1682" s="1">
        <v>2393849</v>
      </c>
      <c r="B1682" s="1" t="s">
        <v>1685</v>
      </c>
      <c r="D1682" s="2">
        <v>0</v>
      </c>
      <c r="E1682" s="2" t="s">
        <v>0</v>
      </c>
      <c r="G1682" s="1" t="s">
        <v>1968</v>
      </c>
      <c r="H1682" s="2">
        <v>1</v>
      </c>
      <c r="J1682" s="15">
        <v>11.83</v>
      </c>
      <c r="K1682" s="40">
        <v>0</v>
      </c>
    </row>
    <row r="1683" spans="1:11" x14ac:dyDescent="0.25">
      <c r="A1683" s="1">
        <v>2393850</v>
      </c>
      <c r="B1683" s="1" t="s">
        <v>1686</v>
      </c>
      <c r="D1683" s="2">
        <v>0</v>
      </c>
      <c r="E1683" s="2" t="s">
        <v>0</v>
      </c>
      <c r="G1683" s="1" t="s">
        <v>1968</v>
      </c>
      <c r="H1683" s="2">
        <v>1</v>
      </c>
      <c r="J1683" s="15">
        <v>14.05</v>
      </c>
      <c r="K1683" s="40">
        <v>0</v>
      </c>
    </row>
    <row r="1684" spans="1:11" x14ac:dyDescent="0.25">
      <c r="A1684" s="1">
        <v>2394084</v>
      </c>
      <c r="B1684" s="1" t="s">
        <v>1687</v>
      </c>
      <c r="D1684" s="2">
        <v>0</v>
      </c>
      <c r="E1684" s="2" t="s">
        <v>54</v>
      </c>
      <c r="G1684" s="1" t="s">
        <v>1969</v>
      </c>
      <c r="H1684" s="2">
        <v>1</v>
      </c>
      <c r="I1684" s="2">
        <v>42</v>
      </c>
      <c r="J1684" s="15">
        <v>648.66</v>
      </c>
      <c r="K1684" s="40">
        <v>0</v>
      </c>
    </row>
    <row r="1685" spans="1:11" x14ac:dyDescent="0.25">
      <c r="A1685" s="1">
        <v>2394370</v>
      </c>
      <c r="B1685" s="1" t="s">
        <v>1688</v>
      </c>
      <c r="D1685" s="2">
        <v>0</v>
      </c>
      <c r="E1685" s="2" t="s">
        <v>0</v>
      </c>
      <c r="G1685" s="1" t="s">
        <v>1968</v>
      </c>
      <c r="H1685" s="2">
        <v>1</v>
      </c>
      <c r="J1685" s="15">
        <v>341.36</v>
      </c>
      <c r="K1685" s="40">
        <v>0</v>
      </c>
    </row>
    <row r="1686" spans="1:11" x14ac:dyDescent="0.25">
      <c r="A1686" s="1">
        <v>2394371</v>
      </c>
      <c r="B1686" s="1" t="s">
        <v>1689</v>
      </c>
      <c r="D1686" s="2">
        <v>0</v>
      </c>
      <c r="E1686" s="2" t="s">
        <v>0</v>
      </c>
      <c r="G1686" s="1" t="s">
        <v>1968</v>
      </c>
      <c r="H1686" s="2">
        <v>1</v>
      </c>
      <c r="J1686" s="15">
        <v>348.06</v>
      </c>
      <c r="K1686" s="40">
        <v>0</v>
      </c>
    </row>
    <row r="1687" spans="1:11" x14ac:dyDescent="0.25">
      <c r="A1687" s="1">
        <v>2394372</v>
      </c>
      <c r="B1687" s="1" t="s">
        <v>1690</v>
      </c>
      <c r="D1687" s="2">
        <v>0</v>
      </c>
      <c r="E1687" s="2" t="s">
        <v>0</v>
      </c>
      <c r="G1687" s="1" t="s">
        <v>1968</v>
      </c>
      <c r="H1687" s="2">
        <v>1</v>
      </c>
      <c r="J1687" s="15">
        <v>355.29</v>
      </c>
      <c r="K1687" s="40">
        <v>0</v>
      </c>
    </row>
    <row r="1688" spans="1:11" x14ac:dyDescent="0.25">
      <c r="A1688" s="1">
        <v>2394373</v>
      </c>
      <c r="B1688" s="1" t="s">
        <v>1691</v>
      </c>
      <c r="D1688" s="2">
        <v>0</v>
      </c>
      <c r="E1688" s="2" t="s">
        <v>0</v>
      </c>
      <c r="G1688" s="1" t="s">
        <v>1968</v>
      </c>
      <c r="H1688" s="2">
        <v>1</v>
      </c>
      <c r="J1688" s="15">
        <v>368.11</v>
      </c>
      <c r="K1688" s="40">
        <v>0</v>
      </c>
    </row>
    <row r="1689" spans="1:11" x14ac:dyDescent="0.25">
      <c r="A1689" s="1">
        <v>2394378</v>
      </c>
      <c r="B1689" s="1" t="s">
        <v>1692</v>
      </c>
      <c r="D1689" s="2">
        <v>0</v>
      </c>
      <c r="E1689" s="2" t="s">
        <v>0</v>
      </c>
      <c r="G1689" s="1" t="s">
        <v>1968</v>
      </c>
      <c r="H1689" s="2">
        <v>1</v>
      </c>
      <c r="J1689" s="15">
        <v>222.29</v>
      </c>
      <c r="K1689" s="40">
        <v>0</v>
      </c>
    </row>
    <row r="1690" spans="1:11" x14ac:dyDescent="0.25">
      <c r="A1690" s="1">
        <v>2394379</v>
      </c>
      <c r="B1690" s="1" t="s">
        <v>1693</v>
      </c>
      <c r="D1690" s="2">
        <v>0</v>
      </c>
      <c r="E1690" s="2" t="s">
        <v>0</v>
      </c>
      <c r="G1690" s="1" t="s">
        <v>1968</v>
      </c>
      <c r="H1690" s="2">
        <v>1</v>
      </c>
      <c r="J1690" s="15">
        <v>255.54</v>
      </c>
      <c r="K1690" s="40">
        <v>0</v>
      </c>
    </row>
    <row r="1691" spans="1:11" x14ac:dyDescent="0.25">
      <c r="A1691" s="1">
        <v>2394380</v>
      </c>
      <c r="B1691" s="1" t="s">
        <v>1694</v>
      </c>
      <c r="D1691" s="2">
        <v>0</v>
      </c>
      <c r="E1691" s="2" t="s">
        <v>0</v>
      </c>
      <c r="G1691" s="1" t="s">
        <v>1968</v>
      </c>
      <c r="H1691" s="2">
        <v>1</v>
      </c>
      <c r="J1691" s="15">
        <v>311.52999999999997</v>
      </c>
      <c r="K1691" s="40">
        <v>0</v>
      </c>
    </row>
    <row r="1692" spans="1:11" x14ac:dyDescent="0.25">
      <c r="A1692" s="1">
        <v>2394381</v>
      </c>
      <c r="B1692" s="1" t="s">
        <v>1695</v>
      </c>
      <c r="D1692" s="2">
        <v>0</v>
      </c>
      <c r="E1692" s="2" t="s">
        <v>0</v>
      </c>
      <c r="G1692" s="1" t="s">
        <v>1968</v>
      </c>
      <c r="H1692" s="2">
        <v>1</v>
      </c>
      <c r="J1692" s="15">
        <v>341.73</v>
      </c>
      <c r="K1692" s="40">
        <v>0</v>
      </c>
    </row>
    <row r="1693" spans="1:11" x14ac:dyDescent="0.25">
      <c r="A1693" s="1">
        <v>2394716</v>
      </c>
      <c r="B1693" s="1" t="s">
        <v>1696</v>
      </c>
      <c r="D1693" s="2">
        <v>0</v>
      </c>
      <c r="E1693" s="2" t="s">
        <v>0</v>
      </c>
      <c r="G1693" s="1" t="s">
        <v>2058</v>
      </c>
      <c r="H1693" s="2">
        <v>1</v>
      </c>
      <c r="I1693" s="2">
        <v>56</v>
      </c>
      <c r="J1693" s="15">
        <v>6444.8</v>
      </c>
      <c r="K1693" s="40">
        <v>0</v>
      </c>
    </row>
    <row r="1694" spans="1:11" x14ac:dyDescent="0.25">
      <c r="A1694" s="1">
        <v>2396459</v>
      </c>
      <c r="B1694" s="1" t="s">
        <v>1697</v>
      </c>
      <c r="D1694" s="2">
        <v>0</v>
      </c>
      <c r="E1694" s="2" t="s">
        <v>0</v>
      </c>
      <c r="G1694" s="1" t="s">
        <v>1968</v>
      </c>
      <c r="H1694" s="2">
        <v>1</v>
      </c>
      <c r="J1694" s="15">
        <v>391.48</v>
      </c>
      <c r="K1694" s="40">
        <v>0</v>
      </c>
    </row>
    <row r="1695" spans="1:11" x14ac:dyDescent="0.25">
      <c r="A1695" s="1">
        <v>2396718</v>
      </c>
      <c r="B1695" s="1" t="s">
        <v>1698</v>
      </c>
      <c r="D1695" s="2">
        <v>0</v>
      </c>
      <c r="E1695" s="2" t="s">
        <v>131</v>
      </c>
      <c r="G1695" s="1" t="s">
        <v>1968</v>
      </c>
      <c r="H1695" s="2">
        <v>1</v>
      </c>
      <c r="J1695" s="15">
        <v>11.9</v>
      </c>
      <c r="K1695" s="40">
        <v>0</v>
      </c>
    </row>
    <row r="1696" spans="1:11" x14ac:dyDescent="0.25">
      <c r="A1696" s="1">
        <v>2397225</v>
      </c>
      <c r="B1696" s="1" t="s">
        <v>1699</v>
      </c>
      <c r="D1696" s="2">
        <v>0</v>
      </c>
      <c r="E1696" s="2" t="s">
        <v>0</v>
      </c>
      <c r="G1696" s="1" t="s">
        <v>1968</v>
      </c>
      <c r="H1696" s="2">
        <v>1</v>
      </c>
      <c r="J1696" s="15">
        <v>100.28</v>
      </c>
      <c r="K1696" s="40">
        <v>0</v>
      </c>
    </row>
    <row r="1697" spans="1:11" x14ac:dyDescent="0.25">
      <c r="A1697" s="1">
        <v>2397964</v>
      </c>
      <c r="B1697" s="1" t="s">
        <v>1700</v>
      </c>
      <c r="D1697" s="2">
        <v>0</v>
      </c>
      <c r="E1697" s="2" t="s">
        <v>0</v>
      </c>
      <c r="G1697" s="1" t="s">
        <v>1968</v>
      </c>
      <c r="H1697" s="2">
        <v>1</v>
      </c>
      <c r="J1697" s="15">
        <v>19.53</v>
      </c>
      <c r="K1697" s="40">
        <v>0</v>
      </c>
    </row>
    <row r="1698" spans="1:11" x14ac:dyDescent="0.25">
      <c r="A1698" s="1">
        <v>2397965</v>
      </c>
      <c r="B1698" s="1" t="s">
        <v>1701</v>
      </c>
      <c r="D1698" s="2">
        <v>0</v>
      </c>
      <c r="E1698" s="2" t="s">
        <v>0</v>
      </c>
      <c r="G1698" s="1" t="s">
        <v>1968</v>
      </c>
      <c r="H1698" s="2">
        <v>1</v>
      </c>
      <c r="J1698" s="15">
        <v>29.44</v>
      </c>
      <c r="K1698" s="40">
        <v>0</v>
      </c>
    </row>
    <row r="1699" spans="1:11" x14ac:dyDescent="0.25">
      <c r="A1699" s="1">
        <v>2397966</v>
      </c>
      <c r="B1699" s="1" t="s">
        <v>1702</v>
      </c>
      <c r="D1699" s="2">
        <v>0</v>
      </c>
      <c r="E1699" s="2" t="s">
        <v>0</v>
      </c>
      <c r="G1699" s="1" t="s">
        <v>1968</v>
      </c>
      <c r="H1699" s="2">
        <v>1</v>
      </c>
      <c r="J1699" s="15">
        <v>14.16</v>
      </c>
      <c r="K1699" s="40">
        <v>0</v>
      </c>
    </row>
    <row r="1700" spans="1:11" x14ac:dyDescent="0.25">
      <c r="A1700" s="1">
        <v>2397969</v>
      </c>
      <c r="B1700" s="1" t="s">
        <v>1703</v>
      </c>
      <c r="D1700" s="2">
        <v>0</v>
      </c>
      <c r="E1700" s="2" t="s">
        <v>56</v>
      </c>
      <c r="G1700" s="1" t="s">
        <v>1968</v>
      </c>
      <c r="H1700" s="2">
        <v>1</v>
      </c>
      <c r="J1700" s="15">
        <v>3067.96</v>
      </c>
      <c r="K1700" s="40">
        <v>0</v>
      </c>
    </row>
    <row r="1701" spans="1:11" x14ac:dyDescent="0.25">
      <c r="A1701" s="1">
        <v>2397970</v>
      </c>
      <c r="B1701" s="1" t="s">
        <v>1704</v>
      </c>
      <c r="D1701" s="2">
        <v>0</v>
      </c>
      <c r="E1701" s="2" t="s">
        <v>56</v>
      </c>
      <c r="G1701" s="1" t="s">
        <v>1968</v>
      </c>
      <c r="H1701" s="2">
        <v>1</v>
      </c>
      <c r="J1701" s="15">
        <v>5171.1000000000004</v>
      </c>
      <c r="K1701" s="40">
        <v>0</v>
      </c>
    </row>
    <row r="1702" spans="1:11" x14ac:dyDescent="0.25">
      <c r="A1702" s="1">
        <v>2610110</v>
      </c>
      <c r="B1702" s="1" t="s">
        <v>1705</v>
      </c>
      <c r="D1702" s="2">
        <v>0</v>
      </c>
      <c r="E1702" s="2" t="s">
        <v>0</v>
      </c>
      <c r="G1702" s="1" t="s">
        <v>786</v>
      </c>
      <c r="H1702" s="2">
        <v>1</v>
      </c>
      <c r="J1702" s="15">
        <v>0.54</v>
      </c>
      <c r="K1702" s="40">
        <v>0</v>
      </c>
    </row>
    <row r="1703" spans="1:11" x14ac:dyDescent="0.25">
      <c r="A1703" s="1">
        <v>2713684</v>
      </c>
      <c r="B1703" s="1" t="s">
        <v>1706</v>
      </c>
      <c r="D1703" s="2">
        <v>0</v>
      </c>
      <c r="E1703" s="2" t="s">
        <v>0</v>
      </c>
      <c r="G1703" s="1" t="s">
        <v>786</v>
      </c>
      <c r="H1703" s="2">
        <v>1</v>
      </c>
      <c r="I1703" s="2">
        <v>7</v>
      </c>
      <c r="J1703" s="15">
        <v>2.35</v>
      </c>
      <c r="K1703" s="40">
        <v>0</v>
      </c>
    </row>
    <row r="1704" spans="1:11" x14ac:dyDescent="0.25">
      <c r="A1704" s="1">
        <v>2741006</v>
      </c>
      <c r="B1704" s="1" t="s">
        <v>1707</v>
      </c>
      <c r="D1704" s="2">
        <v>0</v>
      </c>
      <c r="E1704" s="2" t="s">
        <v>0</v>
      </c>
      <c r="G1704" s="1" t="s">
        <v>1969</v>
      </c>
      <c r="H1704" s="2">
        <v>1</v>
      </c>
      <c r="I1704" s="2">
        <v>14</v>
      </c>
      <c r="J1704" s="15">
        <v>7.23</v>
      </c>
      <c r="K1704" s="40">
        <v>0</v>
      </c>
    </row>
    <row r="1705" spans="1:11" x14ac:dyDescent="0.25">
      <c r="A1705" s="1">
        <v>2800001</v>
      </c>
      <c r="B1705" s="1" t="s">
        <v>1708</v>
      </c>
      <c r="D1705" s="2">
        <v>0</v>
      </c>
      <c r="E1705" s="2" t="s">
        <v>0</v>
      </c>
      <c r="G1705" s="1" t="s">
        <v>1969</v>
      </c>
      <c r="H1705" s="2">
        <v>1</v>
      </c>
      <c r="I1705" s="2">
        <v>7</v>
      </c>
      <c r="J1705" s="15">
        <v>1.31</v>
      </c>
      <c r="K1705" s="40">
        <v>0</v>
      </c>
    </row>
    <row r="1706" spans="1:11" x14ac:dyDescent="0.25">
      <c r="A1706" s="1">
        <v>2949444</v>
      </c>
      <c r="B1706" s="1" t="s">
        <v>1709</v>
      </c>
      <c r="D1706" s="2">
        <v>0</v>
      </c>
      <c r="E1706" s="2" t="s">
        <v>0</v>
      </c>
      <c r="G1706" s="1" t="s">
        <v>1968</v>
      </c>
      <c r="H1706" s="2">
        <v>1</v>
      </c>
      <c r="J1706" s="15">
        <v>21.82</v>
      </c>
      <c r="K1706" s="40">
        <v>0</v>
      </c>
    </row>
    <row r="1707" spans="1:11" x14ac:dyDescent="0.25">
      <c r="A1707" s="1">
        <v>2949457</v>
      </c>
      <c r="B1707" s="1" t="s">
        <v>1710</v>
      </c>
      <c r="D1707" s="2">
        <v>0</v>
      </c>
      <c r="E1707" s="2" t="s">
        <v>0</v>
      </c>
      <c r="G1707" s="1" t="s">
        <v>1969</v>
      </c>
      <c r="H1707" s="2">
        <v>1</v>
      </c>
      <c r="I1707" s="2">
        <v>28</v>
      </c>
      <c r="K1707" s="40">
        <v>0</v>
      </c>
    </row>
    <row r="1708" spans="1:11" x14ac:dyDescent="0.25">
      <c r="A1708" s="1">
        <v>2961033</v>
      </c>
      <c r="B1708" s="1" t="s">
        <v>1711</v>
      </c>
      <c r="D1708" s="2">
        <v>0</v>
      </c>
      <c r="E1708" s="2" t="s">
        <v>0</v>
      </c>
      <c r="G1708" s="1" t="s">
        <v>1968</v>
      </c>
      <c r="H1708" s="2">
        <v>1</v>
      </c>
      <c r="J1708" s="15">
        <v>11.49</v>
      </c>
      <c r="K1708" s="40">
        <v>0</v>
      </c>
    </row>
    <row r="1709" spans="1:11" x14ac:dyDescent="0.25">
      <c r="A1709" s="1">
        <v>2961035</v>
      </c>
      <c r="B1709" s="1" t="s">
        <v>1712</v>
      </c>
      <c r="D1709" s="2">
        <v>0</v>
      </c>
      <c r="E1709" s="2" t="s">
        <v>0</v>
      </c>
      <c r="G1709" s="1" t="s">
        <v>1968</v>
      </c>
      <c r="H1709" s="2">
        <v>1</v>
      </c>
      <c r="J1709" s="15">
        <v>25.11</v>
      </c>
      <c r="K1709" s="40">
        <v>0</v>
      </c>
    </row>
    <row r="1710" spans="1:11" x14ac:dyDescent="0.25">
      <c r="A1710" s="1">
        <v>2961036</v>
      </c>
      <c r="B1710" s="1" t="s">
        <v>1713</v>
      </c>
      <c r="D1710" s="2">
        <v>0</v>
      </c>
      <c r="E1710" s="2" t="s">
        <v>0</v>
      </c>
      <c r="G1710" s="1" t="s">
        <v>1968</v>
      </c>
      <c r="H1710" s="2">
        <v>1</v>
      </c>
      <c r="J1710" s="15">
        <v>20.260000000000002</v>
      </c>
      <c r="K1710" s="40">
        <v>0</v>
      </c>
    </row>
    <row r="1711" spans="1:11" x14ac:dyDescent="0.25">
      <c r="A1711" s="1">
        <v>2962157</v>
      </c>
      <c r="B1711" s="1" t="s">
        <v>1714</v>
      </c>
      <c r="D1711" s="2">
        <v>0</v>
      </c>
      <c r="E1711" s="2" t="s">
        <v>1901</v>
      </c>
      <c r="G1711" s="1" t="s">
        <v>1968</v>
      </c>
      <c r="H1711" s="2">
        <v>750</v>
      </c>
      <c r="J1711" s="15">
        <v>2.0099999999999998</v>
      </c>
      <c r="K1711" s="40">
        <v>0</v>
      </c>
    </row>
    <row r="1712" spans="1:11" x14ac:dyDescent="0.25">
      <c r="A1712" s="1">
        <v>2962158</v>
      </c>
      <c r="B1712" s="1" t="s">
        <v>1715</v>
      </c>
      <c r="D1712" s="2">
        <v>0</v>
      </c>
      <c r="E1712" s="2" t="s">
        <v>1901</v>
      </c>
      <c r="G1712" s="1" t="s">
        <v>1968</v>
      </c>
      <c r="H1712" s="2">
        <v>500</v>
      </c>
      <c r="J1712" s="15">
        <v>2.63</v>
      </c>
      <c r="K1712" s="40">
        <v>0</v>
      </c>
    </row>
    <row r="1713" spans="1:11" x14ac:dyDescent="0.25">
      <c r="A1713" s="1">
        <v>2962218</v>
      </c>
      <c r="B1713" s="1" t="s">
        <v>1716</v>
      </c>
      <c r="D1713" s="2">
        <v>0</v>
      </c>
      <c r="E1713" s="2" t="s">
        <v>0</v>
      </c>
      <c r="G1713" s="1" t="s">
        <v>2058</v>
      </c>
      <c r="H1713" s="2">
        <v>1</v>
      </c>
      <c r="I1713" s="2">
        <v>14</v>
      </c>
      <c r="J1713" s="15">
        <v>1383.57</v>
      </c>
      <c r="K1713" s="40">
        <v>0</v>
      </c>
    </row>
    <row r="1714" spans="1:11" x14ac:dyDescent="0.25">
      <c r="A1714" s="1">
        <v>2962733</v>
      </c>
      <c r="B1714" s="1" t="s">
        <v>1717</v>
      </c>
      <c r="D1714" s="2">
        <v>0</v>
      </c>
      <c r="E1714" s="2" t="s">
        <v>0</v>
      </c>
      <c r="G1714" s="1" t="s">
        <v>1969</v>
      </c>
      <c r="H1714" s="2">
        <v>1</v>
      </c>
      <c r="I1714" s="2">
        <v>14</v>
      </c>
      <c r="J1714" s="15">
        <v>783.17</v>
      </c>
      <c r="K1714" s="40">
        <v>0</v>
      </c>
    </row>
    <row r="1715" spans="1:11" x14ac:dyDescent="0.25">
      <c r="A1715" s="1">
        <v>2962753</v>
      </c>
      <c r="B1715" s="1" t="s">
        <v>1718</v>
      </c>
      <c r="D1715" s="2">
        <v>0</v>
      </c>
      <c r="E1715" s="2" t="s">
        <v>0</v>
      </c>
      <c r="G1715" s="1" t="s">
        <v>1969</v>
      </c>
      <c r="H1715" s="2">
        <v>1</v>
      </c>
      <c r="I1715" s="2">
        <v>14</v>
      </c>
      <c r="J1715" s="15">
        <v>265.3</v>
      </c>
      <c r="K1715" s="40">
        <v>0</v>
      </c>
    </row>
    <row r="1716" spans="1:11" x14ac:dyDescent="0.25">
      <c r="A1716" s="1">
        <v>2962754</v>
      </c>
      <c r="B1716" s="1" t="s">
        <v>1719</v>
      </c>
      <c r="D1716" s="2">
        <v>0</v>
      </c>
      <c r="E1716" s="2" t="s">
        <v>0</v>
      </c>
      <c r="G1716" s="1" t="s">
        <v>1968</v>
      </c>
      <c r="H1716" s="2">
        <v>1</v>
      </c>
      <c r="J1716" s="15">
        <v>257.14999999999998</v>
      </c>
      <c r="K1716" s="40">
        <v>0</v>
      </c>
    </row>
    <row r="1717" spans="1:11" x14ac:dyDescent="0.25">
      <c r="A1717" s="1">
        <v>2962758</v>
      </c>
      <c r="B1717" s="1" t="s">
        <v>1720</v>
      </c>
      <c r="D1717" s="2">
        <v>0</v>
      </c>
      <c r="E1717" s="2" t="s">
        <v>0</v>
      </c>
      <c r="G1717" s="1" t="s">
        <v>1969</v>
      </c>
      <c r="H1717" s="2">
        <v>1</v>
      </c>
      <c r="I1717" s="2">
        <v>14</v>
      </c>
      <c r="J1717" s="15">
        <v>208.93</v>
      </c>
      <c r="K1717" s="40">
        <v>0</v>
      </c>
    </row>
    <row r="1718" spans="1:11" x14ac:dyDescent="0.25">
      <c r="A1718" s="1">
        <v>2962764</v>
      </c>
      <c r="B1718" s="1" t="s">
        <v>1721</v>
      </c>
      <c r="D1718" s="2">
        <v>0</v>
      </c>
      <c r="E1718" s="2" t="s">
        <v>0</v>
      </c>
      <c r="G1718" s="1" t="s">
        <v>1969</v>
      </c>
      <c r="H1718" s="2">
        <v>1</v>
      </c>
      <c r="I1718" s="2">
        <v>14</v>
      </c>
      <c r="J1718" s="15">
        <v>273.18</v>
      </c>
      <c r="K1718" s="40">
        <v>0</v>
      </c>
    </row>
    <row r="1719" spans="1:11" x14ac:dyDescent="0.25">
      <c r="A1719" s="1">
        <v>2970102</v>
      </c>
      <c r="B1719" s="1" t="s">
        <v>1722</v>
      </c>
      <c r="D1719" s="2">
        <v>0</v>
      </c>
      <c r="E1719" s="2" t="s">
        <v>0</v>
      </c>
      <c r="G1719" s="1" t="s">
        <v>1969</v>
      </c>
      <c r="H1719" s="2">
        <v>1</v>
      </c>
      <c r="I1719" s="2">
        <v>14</v>
      </c>
      <c r="J1719" s="15">
        <v>5.43</v>
      </c>
      <c r="K1719" s="40">
        <v>0</v>
      </c>
    </row>
    <row r="1720" spans="1:11" x14ac:dyDescent="0.25">
      <c r="A1720" s="1">
        <v>2970139</v>
      </c>
      <c r="B1720" s="1" t="s">
        <v>1723</v>
      </c>
      <c r="D1720" s="2">
        <v>0</v>
      </c>
      <c r="E1720" s="2" t="s">
        <v>0</v>
      </c>
      <c r="G1720" s="1" t="s">
        <v>1968</v>
      </c>
      <c r="H1720" s="2">
        <v>1</v>
      </c>
      <c r="J1720" s="15">
        <v>9.94</v>
      </c>
      <c r="K1720" s="40">
        <v>0</v>
      </c>
    </row>
    <row r="1721" spans="1:11" x14ac:dyDescent="0.25">
      <c r="A1721" s="1">
        <v>2970141</v>
      </c>
      <c r="B1721" s="1" t="s">
        <v>1724</v>
      </c>
      <c r="D1721" s="2">
        <v>0</v>
      </c>
      <c r="E1721" s="2" t="s">
        <v>0</v>
      </c>
      <c r="G1721" s="1" t="s">
        <v>1968</v>
      </c>
      <c r="H1721" s="2">
        <v>1</v>
      </c>
      <c r="J1721" s="15">
        <v>11.49</v>
      </c>
      <c r="K1721" s="40">
        <v>0</v>
      </c>
    </row>
    <row r="1722" spans="1:11" x14ac:dyDescent="0.25">
      <c r="A1722" s="1">
        <v>2970142</v>
      </c>
      <c r="B1722" s="1" t="s">
        <v>1725</v>
      </c>
      <c r="D1722" s="2">
        <v>0</v>
      </c>
      <c r="E1722" s="2" t="s">
        <v>0</v>
      </c>
      <c r="G1722" s="1" t="s">
        <v>1968</v>
      </c>
      <c r="H1722" s="2">
        <v>1</v>
      </c>
      <c r="J1722" s="15">
        <v>15.3</v>
      </c>
      <c r="K1722" s="40">
        <v>0</v>
      </c>
    </row>
    <row r="1723" spans="1:11" x14ac:dyDescent="0.25">
      <c r="A1723" s="1">
        <v>2970144</v>
      </c>
      <c r="B1723" s="1" t="s">
        <v>1726</v>
      </c>
      <c r="D1723" s="2">
        <v>0</v>
      </c>
      <c r="E1723" s="2" t="s">
        <v>0</v>
      </c>
      <c r="G1723" s="1" t="s">
        <v>1969</v>
      </c>
      <c r="H1723" s="2">
        <v>1</v>
      </c>
      <c r="I1723" s="2">
        <v>14</v>
      </c>
      <c r="J1723" s="15">
        <v>18.600000000000001</v>
      </c>
      <c r="K1723" s="40">
        <v>0</v>
      </c>
    </row>
    <row r="1724" spans="1:11" x14ac:dyDescent="0.25">
      <c r="A1724" s="1">
        <v>2970145</v>
      </c>
      <c r="B1724" s="1" t="s">
        <v>1727</v>
      </c>
      <c r="D1724" s="2">
        <v>0</v>
      </c>
      <c r="E1724" s="2" t="s">
        <v>0</v>
      </c>
      <c r="G1724" s="1" t="s">
        <v>1968</v>
      </c>
      <c r="H1724" s="2">
        <v>1</v>
      </c>
      <c r="J1724" s="15">
        <v>22.8</v>
      </c>
      <c r="K1724" s="40">
        <v>0</v>
      </c>
    </row>
    <row r="1725" spans="1:11" x14ac:dyDescent="0.25">
      <c r="A1725" s="1">
        <v>2981006</v>
      </c>
      <c r="B1725" s="1" t="s">
        <v>1728</v>
      </c>
      <c r="D1725" s="2">
        <v>0</v>
      </c>
      <c r="E1725" s="2" t="s">
        <v>0</v>
      </c>
      <c r="G1725" s="1" t="s">
        <v>1968</v>
      </c>
      <c r="H1725" s="2">
        <v>1</v>
      </c>
      <c r="J1725" s="15">
        <v>55.09</v>
      </c>
      <c r="K1725" s="40">
        <v>0</v>
      </c>
    </row>
    <row r="1726" spans="1:11" x14ac:dyDescent="0.25">
      <c r="A1726" s="1">
        <v>2981517</v>
      </c>
      <c r="B1726" s="1" t="s">
        <v>1729</v>
      </c>
      <c r="D1726" s="2">
        <v>0</v>
      </c>
      <c r="E1726" s="2" t="s">
        <v>0</v>
      </c>
      <c r="G1726" s="1" t="s">
        <v>1969</v>
      </c>
      <c r="H1726" s="2">
        <v>1</v>
      </c>
      <c r="I1726" s="2">
        <v>35</v>
      </c>
      <c r="K1726" s="40">
        <v>0</v>
      </c>
    </row>
    <row r="1727" spans="1:11" x14ac:dyDescent="0.25">
      <c r="A1727" s="1">
        <v>2981599</v>
      </c>
      <c r="B1727" s="1" t="s">
        <v>1730</v>
      </c>
      <c r="D1727" s="2">
        <v>0</v>
      </c>
      <c r="E1727" s="2" t="s">
        <v>0</v>
      </c>
      <c r="G1727" s="1" t="s">
        <v>1969</v>
      </c>
      <c r="H1727" s="2">
        <v>1</v>
      </c>
      <c r="I1727" s="2">
        <v>63</v>
      </c>
      <c r="J1727" s="15">
        <v>197.5</v>
      </c>
      <c r="K1727" s="40">
        <v>0</v>
      </c>
    </row>
    <row r="1728" spans="1:11" x14ac:dyDescent="0.25">
      <c r="A1728" s="1">
        <v>2981629</v>
      </c>
      <c r="B1728" s="1" t="s">
        <v>1731</v>
      </c>
      <c r="D1728" s="2">
        <v>0</v>
      </c>
      <c r="E1728" s="2" t="s">
        <v>56</v>
      </c>
      <c r="G1728" s="1" t="s">
        <v>1969</v>
      </c>
      <c r="H1728" s="2">
        <v>1</v>
      </c>
      <c r="I1728" s="2">
        <v>14</v>
      </c>
      <c r="J1728" s="15">
        <v>19.28</v>
      </c>
      <c r="K1728" s="40">
        <v>0</v>
      </c>
    </row>
    <row r="1729" spans="1:11" x14ac:dyDescent="0.25">
      <c r="A1729" s="1">
        <v>2981631</v>
      </c>
      <c r="B1729" s="1" t="s">
        <v>1732</v>
      </c>
      <c r="D1729" s="2">
        <v>0</v>
      </c>
      <c r="E1729" s="2" t="s">
        <v>0</v>
      </c>
      <c r="G1729" s="1" t="s">
        <v>786</v>
      </c>
      <c r="H1729" s="2">
        <v>1</v>
      </c>
      <c r="I1729" s="2">
        <v>21</v>
      </c>
      <c r="J1729" s="15">
        <v>0.8</v>
      </c>
      <c r="K1729" s="40">
        <v>0</v>
      </c>
    </row>
    <row r="1730" spans="1:11" x14ac:dyDescent="0.25">
      <c r="A1730" s="1">
        <v>2981632</v>
      </c>
      <c r="B1730" s="1" t="s">
        <v>1733</v>
      </c>
      <c r="D1730" s="2">
        <v>0</v>
      </c>
      <c r="E1730" s="2" t="s">
        <v>0</v>
      </c>
      <c r="G1730" s="1" t="s">
        <v>786</v>
      </c>
      <c r="H1730" s="2">
        <v>1</v>
      </c>
      <c r="J1730" s="15">
        <v>0.8</v>
      </c>
      <c r="K1730" s="40">
        <v>0</v>
      </c>
    </row>
    <row r="1731" spans="1:11" x14ac:dyDescent="0.25">
      <c r="A1731" s="1">
        <v>2981634</v>
      </c>
      <c r="B1731" s="1" t="s">
        <v>1734</v>
      </c>
      <c r="D1731" s="2">
        <v>0</v>
      </c>
      <c r="E1731" s="2" t="s">
        <v>0</v>
      </c>
      <c r="G1731" s="1" t="s">
        <v>786</v>
      </c>
      <c r="H1731" s="2">
        <v>1</v>
      </c>
      <c r="I1731" s="2">
        <v>21</v>
      </c>
      <c r="J1731" s="15">
        <v>0.8</v>
      </c>
      <c r="K1731" s="40">
        <v>0</v>
      </c>
    </row>
    <row r="1732" spans="1:11" x14ac:dyDescent="0.25">
      <c r="A1732" s="1">
        <v>2982003</v>
      </c>
      <c r="B1732" s="1" t="s">
        <v>1735</v>
      </c>
      <c r="D1732" s="2">
        <v>0</v>
      </c>
      <c r="E1732" s="2" t="s">
        <v>0</v>
      </c>
      <c r="G1732" s="1" t="s">
        <v>1969</v>
      </c>
      <c r="H1732" s="2">
        <v>1</v>
      </c>
      <c r="I1732" s="2">
        <v>28</v>
      </c>
      <c r="J1732" s="15">
        <v>1087.72</v>
      </c>
      <c r="K1732" s="40">
        <v>0</v>
      </c>
    </row>
    <row r="1733" spans="1:11" x14ac:dyDescent="0.25">
      <c r="A1733" s="1">
        <v>2982004</v>
      </c>
      <c r="B1733" s="1" t="s">
        <v>1736</v>
      </c>
      <c r="D1733" s="2">
        <v>0</v>
      </c>
      <c r="E1733" s="2" t="s">
        <v>0</v>
      </c>
      <c r="G1733" s="1" t="s">
        <v>1968</v>
      </c>
      <c r="H1733" s="2">
        <v>1</v>
      </c>
      <c r="J1733" s="15">
        <v>316.31</v>
      </c>
      <c r="K1733" s="40">
        <v>0</v>
      </c>
    </row>
    <row r="1734" spans="1:11" x14ac:dyDescent="0.25">
      <c r="A1734" s="1">
        <v>2982005</v>
      </c>
      <c r="B1734" s="1" t="s">
        <v>1737</v>
      </c>
      <c r="D1734" s="2">
        <v>0</v>
      </c>
      <c r="E1734" s="2" t="s">
        <v>0</v>
      </c>
      <c r="G1734" s="1" t="s">
        <v>1969</v>
      </c>
      <c r="H1734" s="2">
        <v>1</v>
      </c>
      <c r="I1734" s="2">
        <v>28</v>
      </c>
      <c r="J1734" s="15">
        <v>1182.27</v>
      </c>
      <c r="K1734" s="40">
        <v>0</v>
      </c>
    </row>
    <row r="1735" spans="1:11" x14ac:dyDescent="0.25">
      <c r="A1735" s="1">
        <v>2982006</v>
      </c>
      <c r="B1735" s="1" t="s">
        <v>1738</v>
      </c>
      <c r="D1735" s="2">
        <v>0</v>
      </c>
      <c r="E1735" s="2" t="s">
        <v>0</v>
      </c>
      <c r="G1735" s="1" t="s">
        <v>1968</v>
      </c>
      <c r="H1735" s="2">
        <v>1</v>
      </c>
      <c r="J1735" s="15">
        <v>373.36</v>
      </c>
      <c r="K1735" s="40">
        <v>0</v>
      </c>
    </row>
    <row r="1736" spans="1:11" x14ac:dyDescent="0.25">
      <c r="A1736" s="1">
        <v>2982007</v>
      </c>
      <c r="B1736" s="1" t="s">
        <v>1739</v>
      </c>
      <c r="D1736" s="2">
        <v>0</v>
      </c>
      <c r="E1736" s="2" t="s">
        <v>0</v>
      </c>
      <c r="G1736" s="1" t="s">
        <v>1969</v>
      </c>
      <c r="H1736" s="2">
        <v>1</v>
      </c>
      <c r="I1736" s="2">
        <v>28</v>
      </c>
      <c r="J1736" s="15">
        <v>923.64</v>
      </c>
      <c r="K1736" s="40">
        <v>0</v>
      </c>
    </row>
    <row r="1737" spans="1:11" x14ac:dyDescent="0.25">
      <c r="A1737" s="1">
        <v>2982008</v>
      </c>
      <c r="B1737" s="1" t="s">
        <v>1740</v>
      </c>
      <c r="D1737" s="2">
        <v>0</v>
      </c>
      <c r="E1737" s="2" t="s">
        <v>0</v>
      </c>
      <c r="G1737" s="1" t="s">
        <v>1968</v>
      </c>
      <c r="H1737" s="2">
        <v>1</v>
      </c>
      <c r="J1737" s="15">
        <v>1055.31</v>
      </c>
      <c r="K1737" s="40">
        <v>0</v>
      </c>
    </row>
    <row r="1738" spans="1:11" x14ac:dyDescent="0.25">
      <c r="A1738" s="1">
        <v>2982009</v>
      </c>
      <c r="B1738" s="1" t="s">
        <v>1741</v>
      </c>
      <c r="D1738" s="2">
        <v>0</v>
      </c>
      <c r="E1738" s="2" t="s">
        <v>0</v>
      </c>
      <c r="G1738" s="1" t="s">
        <v>1968</v>
      </c>
      <c r="H1738" s="2">
        <v>1</v>
      </c>
      <c r="J1738" s="15">
        <v>491.93</v>
      </c>
      <c r="K1738" s="40">
        <v>0</v>
      </c>
    </row>
    <row r="1739" spans="1:11" x14ac:dyDescent="0.25">
      <c r="A1739" s="1">
        <v>2982016</v>
      </c>
      <c r="B1739" s="1" t="s">
        <v>1742</v>
      </c>
      <c r="D1739" s="2">
        <v>0</v>
      </c>
      <c r="E1739" s="2" t="s">
        <v>0</v>
      </c>
      <c r="G1739" s="1" t="s">
        <v>1968</v>
      </c>
      <c r="H1739" s="2">
        <v>1</v>
      </c>
      <c r="J1739" s="15">
        <v>528.03</v>
      </c>
      <c r="K1739" s="40">
        <v>0</v>
      </c>
    </row>
    <row r="1740" spans="1:11" x14ac:dyDescent="0.25">
      <c r="A1740" s="1">
        <v>2982019</v>
      </c>
      <c r="B1740" s="1" t="s">
        <v>1743</v>
      </c>
      <c r="D1740" s="2">
        <v>0</v>
      </c>
      <c r="E1740" s="2" t="s">
        <v>0</v>
      </c>
      <c r="G1740" s="1" t="s">
        <v>1968</v>
      </c>
      <c r="H1740" s="2">
        <v>1</v>
      </c>
      <c r="J1740" s="15">
        <v>595.39</v>
      </c>
      <c r="K1740" s="40">
        <v>0</v>
      </c>
    </row>
    <row r="1741" spans="1:11" x14ac:dyDescent="0.25">
      <c r="A1741" s="1">
        <v>2982025</v>
      </c>
      <c r="B1741" s="1" t="s">
        <v>1744</v>
      </c>
      <c r="D1741" s="2">
        <v>0</v>
      </c>
      <c r="E1741" s="2" t="s">
        <v>0</v>
      </c>
      <c r="G1741" s="1" t="s">
        <v>1969</v>
      </c>
      <c r="H1741" s="2">
        <v>1</v>
      </c>
      <c r="I1741" s="2">
        <v>42</v>
      </c>
      <c r="J1741" s="15">
        <v>2.65</v>
      </c>
      <c r="K1741" s="40">
        <v>0</v>
      </c>
    </row>
    <row r="1742" spans="1:11" x14ac:dyDescent="0.25">
      <c r="A1742" s="1">
        <v>2982034</v>
      </c>
      <c r="B1742" s="1" t="s">
        <v>1745</v>
      </c>
      <c r="D1742" s="2">
        <v>0</v>
      </c>
      <c r="E1742" s="2" t="s">
        <v>0</v>
      </c>
      <c r="G1742" s="1" t="s">
        <v>1969</v>
      </c>
      <c r="H1742" s="2">
        <v>1</v>
      </c>
      <c r="I1742" s="2">
        <v>25</v>
      </c>
      <c r="J1742" s="15">
        <v>73.63</v>
      </c>
      <c r="K1742" s="40">
        <v>0</v>
      </c>
    </row>
    <row r="1743" spans="1:11" x14ac:dyDescent="0.25">
      <c r="A1743" s="1">
        <v>2982036</v>
      </c>
      <c r="B1743" s="1" t="s">
        <v>1746</v>
      </c>
      <c r="D1743" s="2">
        <v>0</v>
      </c>
      <c r="E1743" s="2" t="s">
        <v>0</v>
      </c>
      <c r="G1743" s="1" t="s">
        <v>1968</v>
      </c>
      <c r="H1743" s="2">
        <v>1</v>
      </c>
      <c r="J1743" s="15">
        <v>77.05</v>
      </c>
      <c r="K1743" s="40">
        <v>0</v>
      </c>
    </row>
    <row r="1744" spans="1:11" x14ac:dyDescent="0.25">
      <c r="A1744" s="1">
        <v>2982039</v>
      </c>
      <c r="B1744" s="1" t="s">
        <v>1747</v>
      </c>
      <c r="D1744" s="2">
        <v>0</v>
      </c>
      <c r="E1744" s="2" t="s">
        <v>0</v>
      </c>
      <c r="G1744" s="1" t="s">
        <v>1968</v>
      </c>
      <c r="H1744" s="2">
        <v>1</v>
      </c>
      <c r="J1744" s="15">
        <v>155.27000000000001</v>
      </c>
      <c r="K1744" s="40">
        <v>0</v>
      </c>
    </row>
    <row r="1745" spans="1:11" x14ac:dyDescent="0.25">
      <c r="A1745" s="1">
        <v>2982040</v>
      </c>
      <c r="B1745" s="1" t="s">
        <v>1748</v>
      </c>
      <c r="D1745" s="2">
        <v>0</v>
      </c>
      <c r="E1745" s="2" t="s">
        <v>0</v>
      </c>
      <c r="G1745" s="1" t="s">
        <v>1968</v>
      </c>
      <c r="H1745" s="2">
        <v>1</v>
      </c>
      <c r="J1745" s="15">
        <v>191.75</v>
      </c>
      <c r="K1745" s="40">
        <v>0</v>
      </c>
    </row>
    <row r="1746" spans="1:11" x14ac:dyDescent="0.25">
      <c r="A1746" s="1">
        <v>2982041</v>
      </c>
      <c r="B1746" s="1" t="s">
        <v>1749</v>
      </c>
      <c r="D1746" s="2">
        <v>0</v>
      </c>
      <c r="E1746" s="2" t="s">
        <v>0</v>
      </c>
      <c r="G1746" s="1" t="s">
        <v>1969</v>
      </c>
      <c r="H1746" s="2">
        <v>1</v>
      </c>
      <c r="I1746" s="2">
        <v>21</v>
      </c>
      <c r="J1746" s="15">
        <v>159.19999999999999</v>
      </c>
      <c r="K1746" s="40">
        <v>0</v>
      </c>
    </row>
    <row r="1747" spans="1:11" x14ac:dyDescent="0.25">
      <c r="A1747" s="1">
        <v>2982049</v>
      </c>
      <c r="B1747" s="1" t="s">
        <v>1750</v>
      </c>
      <c r="D1747" s="2">
        <v>0</v>
      </c>
      <c r="E1747" s="2" t="s">
        <v>0</v>
      </c>
      <c r="G1747" s="1" t="s">
        <v>1968</v>
      </c>
      <c r="H1747" s="2">
        <v>1</v>
      </c>
      <c r="J1747" s="15">
        <v>99.9</v>
      </c>
      <c r="K1747" s="40">
        <v>0</v>
      </c>
    </row>
    <row r="1748" spans="1:11" x14ac:dyDescent="0.25">
      <c r="A1748" s="1">
        <v>2982069</v>
      </c>
      <c r="B1748" s="1" t="s">
        <v>1751</v>
      </c>
      <c r="D1748" s="2">
        <v>0</v>
      </c>
      <c r="E1748" s="2" t="s">
        <v>0</v>
      </c>
      <c r="G1748" s="1" t="s">
        <v>1969</v>
      </c>
      <c r="H1748" s="2">
        <v>1</v>
      </c>
      <c r="I1748" s="2">
        <v>28</v>
      </c>
      <c r="J1748" s="15">
        <v>16.649999999999999</v>
      </c>
      <c r="K1748" s="40">
        <v>0</v>
      </c>
    </row>
    <row r="1749" spans="1:11" x14ac:dyDescent="0.25">
      <c r="A1749" s="1">
        <v>2982074</v>
      </c>
      <c r="B1749" s="1" t="s">
        <v>1752</v>
      </c>
      <c r="D1749" s="2">
        <v>0</v>
      </c>
      <c r="E1749" s="2" t="s">
        <v>0</v>
      </c>
      <c r="G1749" s="1" t="s">
        <v>786</v>
      </c>
      <c r="H1749" s="2">
        <v>12</v>
      </c>
      <c r="J1749" s="15">
        <v>12.4</v>
      </c>
      <c r="K1749" s="40">
        <v>0</v>
      </c>
    </row>
    <row r="1750" spans="1:11" x14ac:dyDescent="0.25">
      <c r="A1750" s="1">
        <v>2982085</v>
      </c>
      <c r="B1750" s="1" t="s">
        <v>1753</v>
      </c>
      <c r="D1750" s="2">
        <v>0</v>
      </c>
      <c r="E1750" s="2" t="s">
        <v>0</v>
      </c>
      <c r="G1750" s="1" t="s">
        <v>1968</v>
      </c>
      <c r="H1750" s="2">
        <v>1</v>
      </c>
      <c r="J1750" s="15">
        <v>49.72</v>
      </c>
      <c r="K1750" s="40">
        <v>0</v>
      </c>
    </row>
    <row r="1751" spans="1:11" x14ac:dyDescent="0.25">
      <c r="A1751" s="1">
        <v>2982094</v>
      </c>
      <c r="B1751" s="1" t="s">
        <v>1754</v>
      </c>
      <c r="D1751" s="2">
        <v>0</v>
      </c>
      <c r="E1751" s="2" t="s">
        <v>0</v>
      </c>
      <c r="G1751" s="1" t="s">
        <v>1968</v>
      </c>
      <c r="H1751" s="2">
        <v>1</v>
      </c>
      <c r="J1751" s="15">
        <v>74.28</v>
      </c>
      <c r="K1751" s="40">
        <v>0</v>
      </c>
    </row>
    <row r="1752" spans="1:11" x14ac:dyDescent="0.25">
      <c r="A1752" s="1">
        <v>2982099</v>
      </c>
      <c r="B1752" s="1" t="s">
        <v>1755</v>
      </c>
      <c r="D1752" s="2">
        <v>0</v>
      </c>
      <c r="E1752" s="2" t="s">
        <v>0</v>
      </c>
      <c r="G1752" s="1" t="s">
        <v>786</v>
      </c>
      <c r="H1752" s="2">
        <v>1</v>
      </c>
      <c r="I1752" s="2">
        <v>42</v>
      </c>
      <c r="J1752" s="15">
        <v>5.03</v>
      </c>
      <c r="K1752" s="40">
        <v>0</v>
      </c>
    </row>
    <row r="1753" spans="1:11" x14ac:dyDescent="0.25">
      <c r="A1753" s="1">
        <v>2982304</v>
      </c>
      <c r="B1753" s="1" t="s">
        <v>1756</v>
      </c>
      <c r="D1753" s="2">
        <v>0</v>
      </c>
      <c r="E1753" s="2" t="s">
        <v>131</v>
      </c>
      <c r="G1753" s="1" t="s">
        <v>1969</v>
      </c>
      <c r="H1753" s="2">
        <v>1</v>
      </c>
      <c r="I1753" s="2">
        <v>28</v>
      </c>
      <c r="J1753" s="15">
        <v>23.24</v>
      </c>
      <c r="K1753" s="40">
        <v>0</v>
      </c>
    </row>
    <row r="1754" spans="1:11" x14ac:dyDescent="0.25">
      <c r="A1754" s="1">
        <v>2982313</v>
      </c>
      <c r="B1754" s="1" t="s">
        <v>1757</v>
      </c>
      <c r="D1754" s="2">
        <v>0</v>
      </c>
      <c r="E1754" s="2" t="s">
        <v>131</v>
      </c>
      <c r="G1754" s="1" t="s">
        <v>1969</v>
      </c>
      <c r="H1754" s="2">
        <v>1</v>
      </c>
      <c r="I1754" s="2">
        <v>28</v>
      </c>
      <c r="J1754" s="15">
        <v>23.24</v>
      </c>
      <c r="K1754" s="40">
        <v>0</v>
      </c>
    </row>
    <row r="1755" spans="1:11" x14ac:dyDescent="0.25">
      <c r="A1755" s="1">
        <v>2983122</v>
      </c>
      <c r="B1755" s="1" t="s">
        <v>1758</v>
      </c>
      <c r="D1755" s="2">
        <v>0</v>
      </c>
      <c r="E1755" s="2" t="s">
        <v>0</v>
      </c>
      <c r="G1755" s="1" t="s">
        <v>1969</v>
      </c>
      <c r="H1755" s="2">
        <v>1</v>
      </c>
      <c r="I1755" s="2">
        <v>28</v>
      </c>
      <c r="J1755" s="15">
        <v>95.39</v>
      </c>
      <c r="K1755" s="40">
        <v>0</v>
      </c>
    </row>
    <row r="1756" spans="1:11" x14ac:dyDescent="0.25">
      <c r="A1756" s="1">
        <v>3080138</v>
      </c>
      <c r="B1756" s="1" t="s">
        <v>1759</v>
      </c>
      <c r="D1756" s="2">
        <v>0</v>
      </c>
      <c r="E1756" s="2" t="s">
        <v>302</v>
      </c>
      <c r="G1756" s="1" t="s">
        <v>786</v>
      </c>
      <c r="H1756" s="2">
        <v>1</v>
      </c>
      <c r="I1756" s="2">
        <v>28</v>
      </c>
      <c r="J1756" s="15">
        <v>186.22</v>
      </c>
      <c r="K1756" s="40">
        <v>0</v>
      </c>
    </row>
    <row r="1757" spans="1:11" x14ac:dyDescent="0.25">
      <c r="A1757" s="1">
        <v>3080428</v>
      </c>
      <c r="B1757" s="1" t="s">
        <v>1760</v>
      </c>
      <c r="D1757" s="2">
        <v>0</v>
      </c>
      <c r="E1757" s="2" t="s">
        <v>0</v>
      </c>
      <c r="G1757" s="1" t="s">
        <v>1969</v>
      </c>
      <c r="H1757" s="2">
        <v>1</v>
      </c>
      <c r="I1757" s="2">
        <v>14</v>
      </c>
      <c r="J1757" s="15">
        <v>12.98</v>
      </c>
      <c r="K1757" s="40">
        <v>0</v>
      </c>
    </row>
    <row r="1758" spans="1:11" x14ac:dyDescent="0.25">
      <c r="A1758" s="1">
        <v>3080430</v>
      </c>
      <c r="B1758" s="1" t="s">
        <v>1761</v>
      </c>
      <c r="D1758" s="2">
        <v>0</v>
      </c>
      <c r="E1758" s="2" t="s">
        <v>0</v>
      </c>
      <c r="G1758" s="1" t="s">
        <v>1969</v>
      </c>
      <c r="H1758" s="2">
        <v>1</v>
      </c>
      <c r="I1758" s="2">
        <v>21</v>
      </c>
      <c r="J1758" s="15">
        <v>8.25</v>
      </c>
      <c r="K1758" s="40">
        <v>0</v>
      </c>
    </row>
    <row r="1759" spans="1:11" x14ac:dyDescent="0.25">
      <c r="A1759" s="1">
        <v>3080432</v>
      </c>
      <c r="B1759" s="1" t="s">
        <v>1762</v>
      </c>
      <c r="D1759" s="2">
        <v>0</v>
      </c>
      <c r="E1759" s="2" t="s">
        <v>0</v>
      </c>
      <c r="G1759" s="1" t="s">
        <v>1969</v>
      </c>
      <c r="H1759" s="2">
        <v>1</v>
      </c>
      <c r="I1759" s="2">
        <v>14</v>
      </c>
      <c r="J1759" s="15">
        <v>6.28</v>
      </c>
      <c r="K1759" s="40">
        <v>0</v>
      </c>
    </row>
    <row r="1760" spans="1:11" x14ac:dyDescent="0.25">
      <c r="A1760" s="1">
        <v>3091798</v>
      </c>
      <c r="B1760" s="1" t="s">
        <v>1763</v>
      </c>
      <c r="D1760" s="2">
        <v>0</v>
      </c>
      <c r="E1760" s="2" t="s">
        <v>131</v>
      </c>
      <c r="G1760" s="1" t="s">
        <v>1968</v>
      </c>
      <c r="H1760" s="2">
        <v>25</v>
      </c>
      <c r="J1760" s="15">
        <v>14.83</v>
      </c>
      <c r="K1760" s="40">
        <v>0</v>
      </c>
    </row>
    <row r="1761" spans="1:11" x14ac:dyDescent="0.25">
      <c r="A1761" s="1">
        <v>3217031</v>
      </c>
      <c r="B1761" s="1" t="s">
        <v>1764</v>
      </c>
      <c r="D1761" s="2">
        <v>0</v>
      </c>
      <c r="E1761" s="2" t="s">
        <v>0</v>
      </c>
      <c r="G1761" s="1" t="s">
        <v>1969</v>
      </c>
      <c r="H1761" s="2">
        <v>1</v>
      </c>
      <c r="I1761" s="2">
        <v>35</v>
      </c>
      <c r="J1761" s="15">
        <v>51.33</v>
      </c>
      <c r="K1761" s="40">
        <v>0</v>
      </c>
    </row>
    <row r="1762" spans="1:11" x14ac:dyDescent="0.25">
      <c r="A1762" s="1">
        <v>3217032</v>
      </c>
      <c r="B1762" s="1" t="s">
        <v>1765</v>
      </c>
      <c r="D1762" s="2">
        <v>0</v>
      </c>
      <c r="E1762" s="2" t="s">
        <v>0</v>
      </c>
      <c r="G1762" s="1" t="s">
        <v>1969</v>
      </c>
      <c r="H1762" s="2">
        <v>1</v>
      </c>
      <c r="I1762" s="2">
        <v>35</v>
      </c>
      <c r="J1762" s="15">
        <v>51.33</v>
      </c>
      <c r="K1762" s="40">
        <v>0</v>
      </c>
    </row>
    <row r="1763" spans="1:11" x14ac:dyDescent="0.25">
      <c r="A1763" s="1">
        <v>3217033</v>
      </c>
      <c r="B1763" s="1" t="s">
        <v>1766</v>
      </c>
      <c r="D1763" s="2">
        <v>0</v>
      </c>
      <c r="E1763" s="2" t="s">
        <v>0</v>
      </c>
      <c r="G1763" s="1" t="s">
        <v>1969</v>
      </c>
      <c r="H1763" s="2">
        <v>1</v>
      </c>
      <c r="I1763" s="2">
        <v>35</v>
      </c>
      <c r="J1763" s="15">
        <v>51.33</v>
      </c>
      <c r="K1763" s="40">
        <v>0</v>
      </c>
    </row>
    <row r="1764" spans="1:11" x14ac:dyDescent="0.25">
      <c r="A1764" s="1">
        <v>3217063</v>
      </c>
      <c r="B1764" s="1" t="s">
        <v>1767</v>
      </c>
      <c r="D1764" s="2">
        <v>0</v>
      </c>
      <c r="E1764" s="2" t="s">
        <v>131</v>
      </c>
      <c r="G1764" s="1" t="s">
        <v>1968</v>
      </c>
      <c r="H1764" s="2">
        <v>1</v>
      </c>
      <c r="J1764" s="15">
        <v>2.09</v>
      </c>
      <c r="K1764" s="40">
        <v>0</v>
      </c>
    </row>
    <row r="1765" spans="1:11" x14ac:dyDescent="0.25">
      <c r="A1765" s="1">
        <v>3217064</v>
      </c>
      <c r="B1765" s="1" t="s">
        <v>1768</v>
      </c>
      <c r="D1765" s="2">
        <v>0</v>
      </c>
      <c r="E1765" s="2" t="s">
        <v>131</v>
      </c>
      <c r="G1765" s="1" t="s">
        <v>1968</v>
      </c>
      <c r="H1765" s="2">
        <v>1</v>
      </c>
      <c r="J1765" s="15">
        <v>2.09</v>
      </c>
      <c r="K1765" s="40">
        <v>0</v>
      </c>
    </row>
    <row r="1766" spans="1:11" x14ac:dyDescent="0.25">
      <c r="A1766" s="1">
        <v>3217065</v>
      </c>
      <c r="B1766" s="1" t="s">
        <v>1769</v>
      </c>
      <c r="D1766" s="2">
        <v>0</v>
      </c>
      <c r="E1766" s="2" t="s">
        <v>131</v>
      </c>
      <c r="G1766" s="1" t="s">
        <v>786</v>
      </c>
      <c r="H1766" s="2">
        <v>1</v>
      </c>
      <c r="J1766" s="15">
        <v>2.09</v>
      </c>
      <c r="K1766" s="40">
        <v>0</v>
      </c>
    </row>
    <row r="1767" spans="1:11" x14ac:dyDescent="0.25">
      <c r="A1767" s="1">
        <v>3217066</v>
      </c>
      <c r="B1767" s="1" t="s">
        <v>1770</v>
      </c>
      <c r="D1767" s="2">
        <v>0</v>
      </c>
      <c r="E1767" s="2" t="s">
        <v>131</v>
      </c>
      <c r="G1767" s="1" t="s">
        <v>1968</v>
      </c>
      <c r="H1767" s="2">
        <v>1</v>
      </c>
      <c r="J1767" s="15">
        <v>2.09</v>
      </c>
      <c r="K1767" s="40">
        <v>0</v>
      </c>
    </row>
    <row r="1768" spans="1:11" x14ac:dyDescent="0.25">
      <c r="A1768" s="1">
        <v>3217067</v>
      </c>
      <c r="B1768" s="1" t="s">
        <v>1771</v>
      </c>
      <c r="D1768" s="2">
        <v>0</v>
      </c>
      <c r="E1768" s="2" t="s">
        <v>131</v>
      </c>
      <c r="G1768" s="1" t="s">
        <v>1968</v>
      </c>
      <c r="H1768" s="2">
        <v>1</v>
      </c>
      <c r="J1768" s="15">
        <v>2.09</v>
      </c>
      <c r="K1768" s="40">
        <v>0</v>
      </c>
    </row>
    <row r="1769" spans="1:11" x14ac:dyDescent="0.25">
      <c r="A1769" s="1">
        <v>3217068</v>
      </c>
      <c r="B1769" s="1" t="s">
        <v>1772</v>
      </c>
      <c r="D1769" s="2">
        <v>0</v>
      </c>
      <c r="E1769" s="2" t="s">
        <v>131</v>
      </c>
      <c r="G1769" s="1" t="s">
        <v>1968</v>
      </c>
      <c r="H1769" s="2">
        <v>1</v>
      </c>
      <c r="J1769" s="15">
        <v>2.09</v>
      </c>
      <c r="K1769" s="40">
        <v>0</v>
      </c>
    </row>
    <row r="1770" spans="1:11" x14ac:dyDescent="0.25">
      <c r="A1770" s="1">
        <v>3217069</v>
      </c>
      <c r="B1770" s="1" t="s">
        <v>1773</v>
      </c>
      <c r="D1770" s="2">
        <v>0</v>
      </c>
      <c r="E1770" s="2" t="s">
        <v>131</v>
      </c>
      <c r="G1770" s="1" t="s">
        <v>1968</v>
      </c>
      <c r="H1770" s="2">
        <v>1</v>
      </c>
      <c r="J1770" s="15">
        <v>2.09</v>
      </c>
      <c r="K1770" s="40">
        <v>0</v>
      </c>
    </row>
    <row r="1771" spans="1:11" x14ac:dyDescent="0.25">
      <c r="A1771" s="1">
        <v>3219258</v>
      </c>
      <c r="B1771" s="1" t="s">
        <v>1774</v>
      </c>
      <c r="D1771" s="2">
        <v>0</v>
      </c>
      <c r="E1771" s="2" t="s">
        <v>302</v>
      </c>
      <c r="G1771" s="1" t="s">
        <v>786</v>
      </c>
      <c r="H1771" s="2">
        <v>1</v>
      </c>
      <c r="I1771" s="2">
        <v>14</v>
      </c>
      <c r="J1771" s="15">
        <v>3.77</v>
      </c>
      <c r="K1771" s="40">
        <v>0</v>
      </c>
    </row>
    <row r="1772" spans="1:11" x14ac:dyDescent="0.25">
      <c r="A1772" s="1">
        <v>3364344</v>
      </c>
      <c r="B1772" s="1" t="s">
        <v>1775</v>
      </c>
      <c r="D1772" s="2">
        <v>0</v>
      </c>
      <c r="E1772" s="2" t="s">
        <v>0</v>
      </c>
      <c r="G1772" s="1" t="s">
        <v>1969</v>
      </c>
      <c r="H1772" s="2">
        <v>1</v>
      </c>
      <c r="I1772" s="2">
        <v>14</v>
      </c>
      <c r="J1772" s="15">
        <v>1</v>
      </c>
      <c r="K1772" s="40">
        <v>0</v>
      </c>
    </row>
    <row r="1773" spans="1:11" x14ac:dyDescent="0.25">
      <c r="A1773" s="1">
        <v>3494357</v>
      </c>
      <c r="B1773" s="1" t="s">
        <v>1776</v>
      </c>
      <c r="D1773" s="2">
        <v>0</v>
      </c>
      <c r="E1773" s="2" t="s">
        <v>0</v>
      </c>
      <c r="G1773" s="1" t="s">
        <v>786</v>
      </c>
      <c r="H1773" s="2">
        <v>1</v>
      </c>
      <c r="I1773" s="2">
        <v>14</v>
      </c>
      <c r="J1773" s="15">
        <v>33.049999999999997</v>
      </c>
      <c r="K1773" s="40">
        <v>0</v>
      </c>
    </row>
    <row r="1774" spans="1:11" x14ac:dyDescent="0.25">
      <c r="A1774" s="1">
        <v>3611013</v>
      </c>
      <c r="B1774" s="1" t="s">
        <v>1777</v>
      </c>
      <c r="D1774" s="2">
        <v>0</v>
      </c>
      <c r="E1774" s="2" t="s">
        <v>0</v>
      </c>
      <c r="G1774" s="1" t="s">
        <v>1969</v>
      </c>
      <c r="H1774" s="2">
        <v>1</v>
      </c>
      <c r="I1774" s="2">
        <v>14</v>
      </c>
      <c r="J1774" s="15">
        <v>0.7</v>
      </c>
      <c r="K1774" s="40">
        <v>0</v>
      </c>
    </row>
    <row r="1775" spans="1:11" x14ac:dyDescent="0.25">
      <c r="A1775" s="1">
        <v>3613025</v>
      </c>
      <c r="B1775" s="1" t="s">
        <v>1778</v>
      </c>
      <c r="D1775" s="2">
        <v>0</v>
      </c>
      <c r="E1775" s="2" t="s">
        <v>0</v>
      </c>
      <c r="G1775" s="1" t="s">
        <v>1969</v>
      </c>
      <c r="H1775" s="2">
        <v>1</v>
      </c>
      <c r="I1775" s="2">
        <v>49</v>
      </c>
      <c r="J1775" s="15">
        <v>11.14</v>
      </c>
      <c r="K1775" s="40">
        <v>0</v>
      </c>
    </row>
    <row r="1776" spans="1:11" x14ac:dyDescent="0.25">
      <c r="A1776" s="1">
        <v>3613027</v>
      </c>
      <c r="B1776" s="1" t="s">
        <v>1779</v>
      </c>
      <c r="D1776" s="2">
        <v>0</v>
      </c>
      <c r="E1776" s="2" t="s">
        <v>0</v>
      </c>
      <c r="G1776" s="1" t="s">
        <v>1969</v>
      </c>
      <c r="H1776" s="2">
        <v>1</v>
      </c>
      <c r="I1776" s="2">
        <v>7</v>
      </c>
      <c r="J1776" s="15">
        <v>206.96</v>
      </c>
      <c r="K1776" s="40">
        <v>0</v>
      </c>
    </row>
    <row r="1777" spans="1:11" x14ac:dyDescent="0.25">
      <c r="A1777" s="1">
        <v>3615107</v>
      </c>
      <c r="B1777" s="1" t="s">
        <v>1780</v>
      </c>
      <c r="D1777" s="2">
        <v>0</v>
      </c>
      <c r="E1777" s="2" t="s">
        <v>0</v>
      </c>
      <c r="G1777" s="1" t="s">
        <v>1969</v>
      </c>
      <c r="H1777" s="2">
        <v>25</v>
      </c>
      <c r="I1777" s="2">
        <v>56</v>
      </c>
      <c r="J1777" s="15">
        <v>169.13</v>
      </c>
      <c r="K1777" s="40">
        <v>0</v>
      </c>
    </row>
    <row r="1778" spans="1:11" x14ac:dyDescent="0.25">
      <c r="A1778" s="1">
        <v>3912025</v>
      </c>
      <c r="B1778" s="1" t="s">
        <v>1781</v>
      </c>
      <c r="D1778" s="2">
        <v>0</v>
      </c>
      <c r="E1778" s="2" t="s">
        <v>0</v>
      </c>
      <c r="G1778" s="1" t="s">
        <v>1969</v>
      </c>
      <c r="H1778" s="2">
        <v>1</v>
      </c>
      <c r="I1778" s="2">
        <v>42</v>
      </c>
      <c r="J1778" s="15">
        <v>741.66</v>
      </c>
      <c r="K1778" s="40">
        <v>0</v>
      </c>
    </row>
    <row r="1779" spans="1:11" x14ac:dyDescent="0.25">
      <c r="A1779" s="1">
        <v>5001490</v>
      </c>
      <c r="B1779" s="1" t="s">
        <v>1782</v>
      </c>
      <c r="D1779" s="2">
        <v>0</v>
      </c>
      <c r="E1779" s="2" t="s">
        <v>56</v>
      </c>
      <c r="G1779" s="1" t="s">
        <v>1969</v>
      </c>
      <c r="H1779" s="2">
        <v>1</v>
      </c>
      <c r="I1779" s="2">
        <v>21</v>
      </c>
      <c r="J1779" s="15">
        <v>120.32</v>
      </c>
      <c r="K1779" s="40">
        <v>0</v>
      </c>
    </row>
    <row r="1780" spans="1:11" x14ac:dyDescent="0.25">
      <c r="A1780" s="1">
        <v>5006828</v>
      </c>
      <c r="B1780" s="1" t="s">
        <v>1783</v>
      </c>
      <c r="D1780" s="2">
        <v>0</v>
      </c>
      <c r="E1780" s="2" t="s">
        <v>302</v>
      </c>
      <c r="G1780" s="1" t="s">
        <v>786</v>
      </c>
      <c r="H1780" s="2">
        <v>1</v>
      </c>
      <c r="I1780" s="2">
        <v>14</v>
      </c>
      <c r="J1780" s="15">
        <v>4.5</v>
      </c>
      <c r="K1780" s="40">
        <v>0</v>
      </c>
    </row>
    <row r="1781" spans="1:11" x14ac:dyDescent="0.25">
      <c r="A1781" s="1">
        <v>5007617</v>
      </c>
      <c r="B1781" s="1" t="s">
        <v>1784</v>
      </c>
      <c r="D1781" s="2">
        <v>0</v>
      </c>
      <c r="E1781" s="2" t="s">
        <v>0</v>
      </c>
      <c r="G1781" s="1" t="s">
        <v>1969</v>
      </c>
      <c r="H1781" s="2">
        <v>1</v>
      </c>
      <c r="I1781" s="2">
        <v>28</v>
      </c>
      <c r="J1781" s="15">
        <v>3.29</v>
      </c>
      <c r="K1781" s="40">
        <v>0</v>
      </c>
    </row>
    <row r="1782" spans="1:11" x14ac:dyDescent="0.25">
      <c r="A1782" s="1">
        <v>5120469</v>
      </c>
      <c r="B1782" s="1" t="s">
        <v>1785</v>
      </c>
      <c r="D1782" s="2">
        <v>0</v>
      </c>
      <c r="E1782" s="2" t="s">
        <v>0</v>
      </c>
      <c r="G1782" s="1" t="s">
        <v>1969</v>
      </c>
      <c r="H1782" s="2">
        <v>1</v>
      </c>
      <c r="I1782" s="2">
        <v>21</v>
      </c>
      <c r="J1782" s="15">
        <v>2.77</v>
      </c>
      <c r="K1782" s="40">
        <v>0</v>
      </c>
    </row>
    <row r="1783" spans="1:11" x14ac:dyDescent="0.25">
      <c r="A1783" s="1">
        <v>5120506</v>
      </c>
      <c r="B1783" s="1" t="s">
        <v>1786</v>
      </c>
      <c r="D1783" s="2">
        <v>0</v>
      </c>
      <c r="E1783" s="2" t="s">
        <v>0</v>
      </c>
      <c r="G1783" s="1" t="s">
        <v>1969</v>
      </c>
      <c r="H1783" s="2">
        <v>1</v>
      </c>
      <c r="I1783" s="2">
        <v>7</v>
      </c>
      <c r="J1783" s="15">
        <v>1.83</v>
      </c>
      <c r="K1783" s="40">
        <v>0</v>
      </c>
    </row>
    <row r="1784" spans="1:11" x14ac:dyDescent="0.25">
      <c r="A1784" s="1">
        <v>5120534</v>
      </c>
      <c r="B1784" s="1" t="s">
        <v>1787</v>
      </c>
      <c r="D1784" s="2">
        <v>0</v>
      </c>
      <c r="E1784" s="2" t="s">
        <v>0</v>
      </c>
      <c r="G1784" s="1" t="s">
        <v>786</v>
      </c>
      <c r="H1784" s="2">
        <v>1</v>
      </c>
      <c r="I1784" s="2">
        <v>28</v>
      </c>
      <c r="K1784" s="40">
        <v>0</v>
      </c>
    </row>
    <row r="1785" spans="1:11" x14ac:dyDescent="0.25">
      <c r="A1785" s="1">
        <v>5120614</v>
      </c>
      <c r="B1785" s="1" t="s">
        <v>1788</v>
      </c>
      <c r="D1785" s="2">
        <v>0</v>
      </c>
      <c r="E1785" s="2" t="s">
        <v>0</v>
      </c>
      <c r="G1785" s="1" t="s">
        <v>1969</v>
      </c>
      <c r="H1785" s="2">
        <v>1</v>
      </c>
      <c r="I1785" s="2">
        <v>60</v>
      </c>
      <c r="K1785" s="40">
        <v>0</v>
      </c>
    </row>
    <row r="1786" spans="1:11" x14ac:dyDescent="0.25">
      <c r="A1786" s="1">
        <v>5201239</v>
      </c>
      <c r="B1786" s="1" t="s">
        <v>1789</v>
      </c>
      <c r="D1786" s="2">
        <v>0</v>
      </c>
      <c r="E1786" s="2" t="s">
        <v>131</v>
      </c>
      <c r="G1786" s="1" t="s">
        <v>786</v>
      </c>
      <c r="H1786" s="2">
        <v>1</v>
      </c>
      <c r="J1786" s="15">
        <v>9.9499999999999993</v>
      </c>
      <c r="K1786" s="40">
        <v>0</v>
      </c>
    </row>
    <row r="1787" spans="1:11" x14ac:dyDescent="0.25">
      <c r="A1787" s="1">
        <v>5214393</v>
      </c>
      <c r="B1787" s="1" t="s">
        <v>1790</v>
      </c>
      <c r="D1787" s="2">
        <v>0</v>
      </c>
      <c r="E1787" s="2" t="s">
        <v>0</v>
      </c>
      <c r="G1787" s="1" t="s">
        <v>786</v>
      </c>
      <c r="H1787" s="2">
        <v>1</v>
      </c>
      <c r="J1787" s="15">
        <v>8.66</v>
      </c>
      <c r="K1787" s="40">
        <v>0</v>
      </c>
    </row>
    <row r="1788" spans="1:11" x14ac:dyDescent="0.25">
      <c r="A1788" s="1">
        <v>5315201</v>
      </c>
      <c r="B1788" s="1" t="s">
        <v>1791</v>
      </c>
      <c r="D1788" s="2">
        <v>0</v>
      </c>
      <c r="E1788" s="2" t="s">
        <v>56</v>
      </c>
      <c r="G1788" s="1" t="s">
        <v>786</v>
      </c>
      <c r="H1788" s="2">
        <v>1</v>
      </c>
      <c r="J1788" s="15">
        <v>13.36</v>
      </c>
      <c r="K1788" s="40">
        <v>0</v>
      </c>
    </row>
    <row r="1789" spans="1:11" x14ac:dyDescent="0.25">
      <c r="A1789" s="1">
        <v>5413027</v>
      </c>
      <c r="B1789" s="1" t="s">
        <v>1792</v>
      </c>
      <c r="D1789" s="2">
        <v>0</v>
      </c>
      <c r="E1789" s="2" t="s">
        <v>0</v>
      </c>
      <c r="G1789" s="1" t="s">
        <v>786</v>
      </c>
      <c r="H1789" s="2">
        <v>20</v>
      </c>
      <c r="J1789" s="15">
        <v>46.9</v>
      </c>
      <c r="K1789" s="40">
        <v>0</v>
      </c>
    </row>
    <row r="1790" spans="1:11" x14ac:dyDescent="0.25">
      <c r="A1790" s="1">
        <v>5413030</v>
      </c>
      <c r="B1790" s="1" t="s">
        <v>1793</v>
      </c>
      <c r="D1790" s="2">
        <v>0</v>
      </c>
      <c r="E1790" s="2" t="s">
        <v>0</v>
      </c>
      <c r="G1790" s="1" t="s">
        <v>786</v>
      </c>
      <c r="H1790" s="2">
        <v>1</v>
      </c>
      <c r="I1790" s="2">
        <v>7</v>
      </c>
      <c r="J1790" s="15">
        <v>6.07</v>
      </c>
      <c r="K1790" s="40">
        <v>0</v>
      </c>
    </row>
    <row r="1791" spans="1:11" x14ac:dyDescent="0.25">
      <c r="A1791" s="1">
        <v>5413040</v>
      </c>
      <c r="B1791" s="1" t="s">
        <v>1794</v>
      </c>
      <c r="D1791" s="2">
        <v>0</v>
      </c>
      <c r="E1791" s="2" t="s">
        <v>0</v>
      </c>
      <c r="G1791" s="1" t="s">
        <v>786</v>
      </c>
      <c r="H1791" s="2">
        <v>1</v>
      </c>
      <c r="I1791" s="2">
        <v>21</v>
      </c>
      <c r="J1791" s="15">
        <v>3.94</v>
      </c>
      <c r="K1791" s="40">
        <v>0</v>
      </c>
    </row>
    <row r="1792" spans="1:11" x14ac:dyDescent="0.25">
      <c r="A1792" s="1">
        <v>5414114</v>
      </c>
      <c r="B1792" s="1" t="s">
        <v>1795</v>
      </c>
      <c r="D1792" s="2">
        <v>0</v>
      </c>
      <c r="E1792" s="2" t="s">
        <v>0</v>
      </c>
      <c r="G1792" s="1" t="s">
        <v>786</v>
      </c>
      <c r="H1792" s="2">
        <v>1</v>
      </c>
      <c r="J1792" s="15">
        <v>1</v>
      </c>
      <c r="K1792" s="40">
        <v>0</v>
      </c>
    </row>
    <row r="1793" spans="1:11" x14ac:dyDescent="0.25">
      <c r="A1793" s="1">
        <v>5414129</v>
      </c>
      <c r="B1793" s="1" t="s">
        <v>1796</v>
      </c>
      <c r="D1793" s="2">
        <v>0</v>
      </c>
      <c r="E1793" s="2" t="s">
        <v>302</v>
      </c>
      <c r="G1793" s="1" t="s">
        <v>786</v>
      </c>
      <c r="H1793" s="2">
        <v>50</v>
      </c>
      <c r="I1793" s="2">
        <v>7</v>
      </c>
      <c r="J1793" s="15">
        <v>7.28</v>
      </c>
      <c r="K1793" s="40">
        <v>0</v>
      </c>
    </row>
    <row r="1794" spans="1:11" x14ac:dyDescent="0.25">
      <c r="A1794" s="1">
        <v>5414150</v>
      </c>
      <c r="B1794" s="1" t="s">
        <v>1797</v>
      </c>
      <c r="D1794" s="2">
        <v>0</v>
      </c>
      <c r="E1794" s="2" t="s">
        <v>302</v>
      </c>
      <c r="G1794" s="1" t="s">
        <v>786</v>
      </c>
      <c r="H1794" s="2">
        <v>50</v>
      </c>
      <c r="J1794" s="15">
        <v>11.92</v>
      </c>
      <c r="K1794" s="40">
        <v>0</v>
      </c>
    </row>
    <row r="1795" spans="1:11" x14ac:dyDescent="0.25">
      <c r="A1795" s="1">
        <v>5414152</v>
      </c>
      <c r="B1795" s="1" t="s">
        <v>1798</v>
      </c>
      <c r="D1795" s="2">
        <v>0</v>
      </c>
      <c r="E1795" s="2" t="s">
        <v>0</v>
      </c>
      <c r="G1795" s="1" t="s">
        <v>786</v>
      </c>
      <c r="H1795" s="2">
        <v>1</v>
      </c>
      <c r="I1795" s="2">
        <v>7</v>
      </c>
      <c r="J1795" s="15">
        <v>21.64</v>
      </c>
      <c r="K1795" s="40">
        <v>0</v>
      </c>
    </row>
    <row r="1796" spans="1:11" x14ac:dyDescent="0.25">
      <c r="A1796" s="1">
        <v>5414153</v>
      </c>
      <c r="B1796" s="1" t="s">
        <v>1799</v>
      </c>
      <c r="D1796" s="2">
        <v>0</v>
      </c>
      <c r="E1796" s="2" t="s">
        <v>302</v>
      </c>
      <c r="G1796" s="1" t="s">
        <v>786</v>
      </c>
      <c r="H1796" s="2">
        <v>1</v>
      </c>
      <c r="I1796" s="2">
        <v>7</v>
      </c>
      <c r="J1796" s="15">
        <v>26.91</v>
      </c>
      <c r="K1796" s="40">
        <v>0</v>
      </c>
    </row>
    <row r="1797" spans="1:11" x14ac:dyDescent="0.25">
      <c r="A1797" s="1">
        <v>5414156</v>
      </c>
      <c r="B1797" s="1" t="s">
        <v>1800</v>
      </c>
      <c r="D1797" s="2">
        <v>0</v>
      </c>
      <c r="E1797" s="2" t="s">
        <v>0</v>
      </c>
      <c r="G1797" s="1" t="s">
        <v>786</v>
      </c>
      <c r="H1797" s="2">
        <v>1</v>
      </c>
      <c r="J1797" s="15">
        <v>10.11</v>
      </c>
      <c r="K1797" s="40">
        <v>0</v>
      </c>
    </row>
    <row r="1798" spans="1:11" x14ac:dyDescent="0.25">
      <c r="A1798" s="1">
        <v>5414161</v>
      </c>
      <c r="B1798" s="1" t="s">
        <v>1801</v>
      </c>
      <c r="D1798" s="2">
        <v>0</v>
      </c>
      <c r="E1798" s="2" t="s">
        <v>0</v>
      </c>
      <c r="G1798" s="1" t="s">
        <v>786</v>
      </c>
      <c r="H1798" s="2">
        <v>1</v>
      </c>
      <c r="J1798" s="15">
        <v>187.48</v>
      </c>
      <c r="K1798" s="40">
        <v>0</v>
      </c>
    </row>
    <row r="1799" spans="1:11" x14ac:dyDescent="0.25">
      <c r="A1799" s="1">
        <v>5414275</v>
      </c>
      <c r="B1799" s="1" t="s">
        <v>1802</v>
      </c>
      <c r="D1799" s="2">
        <v>0</v>
      </c>
      <c r="E1799" s="2" t="s">
        <v>0</v>
      </c>
      <c r="G1799" s="1" t="s">
        <v>786</v>
      </c>
      <c r="H1799" s="2">
        <v>1</v>
      </c>
      <c r="I1799" s="2">
        <v>7</v>
      </c>
      <c r="J1799" s="15">
        <v>20.8</v>
      </c>
      <c r="K1799" s="40">
        <v>0</v>
      </c>
    </row>
    <row r="1800" spans="1:11" x14ac:dyDescent="0.25">
      <c r="A1800" s="1">
        <v>5414337</v>
      </c>
      <c r="B1800" s="1" t="s">
        <v>1803</v>
      </c>
      <c r="D1800" s="2">
        <v>0</v>
      </c>
      <c r="E1800" s="2" t="s">
        <v>0</v>
      </c>
      <c r="G1800" s="1" t="s">
        <v>1969</v>
      </c>
      <c r="H1800" s="2">
        <v>1</v>
      </c>
      <c r="I1800" s="2">
        <v>28</v>
      </c>
      <c r="J1800" s="15">
        <v>539.46</v>
      </c>
      <c r="K1800" s="40">
        <v>0</v>
      </c>
    </row>
    <row r="1801" spans="1:11" x14ac:dyDescent="0.25">
      <c r="A1801" s="1">
        <v>5414451</v>
      </c>
      <c r="B1801" s="1" t="s">
        <v>1804</v>
      </c>
      <c r="D1801" s="2">
        <v>0</v>
      </c>
      <c r="E1801" s="2" t="s">
        <v>54</v>
      </c>
      <c r="G1801" s="1" t="s">
        <v>1968</v>
      </c>
      <c r="H1801" s="2">
        <v>1</v>
      </c>
      <c r="J1801" s="15">
        <v>46.68</v>
      </c>
      <c r="K1801" s="40">
        <v>0</v>
      </c>
    </row>
    <row r="1802" spans="1:11" x14ac:dyDescent="0.25">
      <c r="A1802" s="1">
        <v>5414452</v>
      </c>
      <c r="B1802" s="1" t="s">
        <v>1805</v>
      </c>
      <c r="D1802" s="2">
        <v>0</v>
      </c>
      <c r="E1802" s="2" t="s">
        <v>0</v>
      </c>
      <c r="G1802" s="1" t="s">
        <v>1968</v>
      </c>
      <c r="H1802" s="2">
        <v>1</v>
      </c>
      <c r="J1802" s="15">
        <v>11.24</v>
      </c>
      <c r="K1802" s="40">
        <v>0</v>
      </c>
    </row>
    <row r="1803" spans="1:11" x14ac:dyDescent="0.25">
      <c r="A1803" s="1">
        <v>5420002</v>
      </c>
      <c r="B1803" s="1" t="s">
        <v>1806</v>
      </c>
      <c r="D1803" s="2">
        <v>0</v>
      </c>
      <c r="E1803" s="2" t="s">
        <v>302</v>
      </c>
      <c r="G1803" s="1" t="s">
        <v>786</v>
      </c>
      <c r="H1803" s="2">
        <v>1</v>
      </c>
      <c r="I1803" s="2">
        <v>7</v>
      </c>
      <c r="J1803" s="15">
        <v>2.46</v>
      </c>
      <c r="K1803" s="40">
        <v>0</v>
      </c>
    </row>
    <row r="1804" spans="1:11" x14ac:dyDescent="0.25">
      <c r="A1804" s="1">
        <v>5450150</v>
      </c>
      <c r="B1804" s="1" t="s">
        <v>1807</v>
      </c>
      <c r="D1804" s="2">
        <v>0</v>
      </c>
      <c r="E1804" s="2" t="s">
        <v>302</v>
      </c>
      <c r="G1804" s="1" t="s">
        <v>786</v>
      </c>
      <c r="H1804" s="2">
        <v>1</v>
      </c>
      <c r="J1804" s="15">
        <v>99.7</v>
      </c>
      <c r="K1804" s="40">
        <v>0</v>
      </c>
    </row>
    <row r="1805" spans="1:11" x14ac:dyDescent="0.25">
      <c r="A1805" s="1">
        <v>5500465</v>
      </c>
      <c r="B1805" s="1" t="s">
        <v>1808</v>
      </c>
      <c r="D1805" s="2">
        <v>0</v>
      </c>
      <c r="E1805" s="2" t="s">
        <v>0</v>
      </c>
      <c r="G1805" s="1" t="s">
        <v>786</v>
      </c>
      <c r="H1805" s="2">
        <v>1</v>
      </c>
      <c r="I1805" s="2">
        <v>21</v>
      </c>
      <c r="J1805" s="15">
        <v>15.21</v>
      </c>
      <c r="K1805" s="40">
        <v>0</v>
      </c>
    </row>
    <row r="1806" spans="1:11" x14ac:dyDescent="0.25">
      <c r="A1806" s="1">
        <v>5500468</v>
      </c>
      <c r="B1806" s="1" t="s">
        <v>1809</v>
      </c>
      <c r="D1806" s="2">
        <v>0</v>
      </c>
      <c r="E1806" s="2" t="s">
        <v>0</v>
      </c>
      <c r="G1806" s="1" t="s">
        <v>786</v>
      </c>
      <c r="H1806" s="2">
        <v>1</v>
      </c>
      <c r="J1806" s="15">
        <v>12.23</v>
      </c>
      <c r="K1806" s="40">
        <v>0</v>
      </c>
    </row>
    <row r="1807" spans="1:11" x14ac:dyDescent="0.25">
      <c r="A1807" s="1">
        <v>5503572</v>
      </c>
      <c r="B1807" s="1" t="s">
        <v>1810</v>
      </c>
      <c r="D1807" s="2">
        <v>0</v>
      </c>
      <c r="E1807" s="2" t="s">
        <v>0</v>
      </c>
      <c r="G1807" s="1" t="s">
        <v>786</v>
      </c>
      <c r="H1807" s="2">
        <v>1</v>
      </c>
      <c r="I1807" s="2">
        <v>21</v>
      </c>
      <c r="J1807" s="15">
        <v>7.47</v>
      </c>
      <c r="K1807" s="40">
        <v>0</v>
      </c>
    </row>
    <row r="1808" spans="1:11" x14ac:dyDescent="0.25">
      <c r="A1808" s="1">
        <v>5503576</v>
      </c>
      <c r="B1808" s="1" t="s">
        <v>1811</v>
      </c>
      <c r="D1808" s="2">
        <v>0</v>
      </c>
      <c r="E1808" s="2" t="s">
        <v>0</v>
      </c>
      <c r="G1808" s="1" t="s">
        <v>786</v>
      </c>
      <c r="H1808" s="2">
        <v>1</v>
      </c>
      <c r="I1808" s="2">
        <v>21</v>
      </c>
      <c r="J1808" s="15">
        <v>8.73</v>
      </c>
      <c r="K1808" s="40">
        <v>0</v>
      </c>
    </row>
    <row r="1809" spans="1:11" x14ac:dyDescent="0.25">
      <c r="A1809" s="1">
        <v>5600124</v>
      </c>
      <c r="B1809" s="1" t="s">
        <v>1812</v>
      </c>
      <c r="D1809" s="2">
        <v>0</v>
      </c>
      <c r="E1809" s="2" t="s">
        <v>0</v>
      </c>
      <c r="G1809" s="1" t="s">
        <v>786</v>
      </c>
      <c r="H1809" s="2">
        <v>1</v>
      </c>
      <c r="I1809" s="2">
        <v>7</v>
      </c>
      <c r="J1809" s="15">
        <v>10.38</v>
      </c>
      <c r="K1809" s="40">
        <v>0</v>
      </c>
    </row>
    <row r="1810" spans="1:11" x14ac:dyDescent="0.25">
      <c r="A1810" s="1">
        <v>5600372</v>
      </c>
      <c r="B1810" s="1" t="s">
        <v>1813</v>
      </c>
      <c r="D1810" s="2">
        <v>0</v>
      </c>
      <c r="E1810" s="2" t="s">
        <v>0</v>
      </c>
      <c r="G1810" s="1" t="s">
        <v>786</v>
      </c>
      <c r="H1810" s="2">
        <v>1</v>
      </c>
      <c r="K1810" s="40">
        <v>0</v>
      </c>
    </row>
    <row r="1811" spans="1:11" x14ac:dyDescent="0.25">
      <c r="A1811" s="1">
        <v>5600374</v>
      </c>
      <c r="B1811" s="1" t="s">
        <v>1814</v>
      </c>
      <c r="D1811" s="2">
        <v>0</v>
      </c>
      <c r="E1811" s="2" t="s">
        <v>0</v>
      </c>
      <c r="G1811" s="1" t="s">
        <v>786</v>
      </c>
      <c r="H1811" s="2">
        <v>1</v>
      </c>
      <c r="I1811" s="2">
        <v>7</v>
      </c>
      <c r="J1811" s="15">
        <v>31.44</v>
      </c>
      <c r="K1811" s="40">
        <v>0</v>
      </c>
    </row>
    <row r="1812" spans="1:11" x14ac:dyDescent="0.25">
      <c r="A1812" s="1">
        <v>5600379</v>
      </c>
      <c r="B1812" s="1" t="s">
        <v>1815</v>
      </c>
      <c r="D1812" s="2">
        <v>0</v>
      </c>
      <c r="E1812" s="2" t="s">
        <v>0</v>
      </c>
      <c r="G1812" s="1" t="s">
        <v>786</v>
      </c>
      <c r="H1812" s="2">
        <v>1</v>
      </c>
      <c r="I1812" s="2">
        <v>7</v>
      </c>
      <c r="J1812" s="15">
        <v>60.94</v>
      </c>
      <c r="K1812" s="40">
        <v>0</v>
      </c>
    </row>
    <row r="1813" spans="1:11" x14ac:dyDescent="0.25">
      <c r="A1813" s="1">
        <v>5600380</v>
      </c>
      <c r="B1813" s="1" t="s">
        <v>1816</v>
      </c>
      <c r="D1813" s="2">
        <v>0</v>
      </c>
      <c r="E1813" s="2" t="s">
        <v>0</v>
      </c>
      <c r="G1813" s="1" t="s">
        <v>786</v>
      </c>
      <c r="H1813" s="2">
        <v>1</v>
      </c>
      <c r="I1813" s="2">
        <v>21</v>
      </c>
      <c r="J1813" s="15">
        <v>17.29</v>
      </c>
      <c r="K1813" s="40">
        <v>0</v>
      </c>
    </row>
    <row r="1814" spans="1:11" x14ac:dyDescent="0.25">
      <c r="A1814" s="1">
        <v>5600427</v>
      </c>
      <c r="B1814" s="1" t="s">
        <v>1817</v>
      </c>
      <c r="D1814" s="2">
        <v>0</v>
      </c>
      <c r="E1814" s="2" t="s">
        <v>0</v>
      </c>
      <c r="G1814" s="1" t="s">
        <v>786</v>
      </c>
      <c r="H1814" s="2">
        <v>1</v>
      </c>
      <c r="I1814" s="2">
        <v>28</v>
      </c>
      <c r="J1814" s="15">
        <v>38.950000000000003</v>
      </c>
      <c r="K1814" s="40">
        <v>0</v>
      </c>
    </row>
    <row r="1815" spans="1:11" x14ac:dyDescent="0.25">
      <c r="A1815" s="1">
        <v>5600444</v>
      </c>
      <c r="B1815" s="1" t="s">
        <v>1818</v>
      </c>
      <c r="D1815" s="2">
        <v>0</v>
      </c>
      <c r="E1815" s="2" t="s">
        <v>0</v>
      </c>
      <c r="G1815" s="1" t="s">
        <v>786</v>
      </c>
      <c r="H1815" s="2">
        <v>1</v>
      </c>
      <c r="I1815" s="2">
        <v>7</v>
      </c>
      <c r="J1815" s="15">
        <v>51.18</v>
      </c>
      <c r="K1815" s="40">
        <v>0</v>
      </c>
    </row>
    <row r="1816" spans="1:11" x14ac:dyDescent="0.25">
      <c r="A1816" s="1">
        <v>5600667</v>
      </c>
      <c r="B1816" s="1" t="s">
        <v>1819</v>
      </c>
      <c r="D1816" s="2">
        <v>0</v>
      </c>
      <c r="E1816" s="2" t="s">
        <v>0</v>
      </c>
      <c r="G1816" s="1" t="s">
        <v>1969</v>
      </c>
      <c r="H1816" s="2">
        <v>1</v>
      </c>
      <c r="I1816" s="2">
        <v>7</v>
      </c>
      <c r="J1816" s="15">
        <v>41.8</v>
      </c>
      <c r="K1816" s="40">
        <v>0</v>
      </c>
    </row>
    <row r="1817" spans="1:11" x14ac:dyDescent="0.25">
      <c r="A1817" s="1">
        <v>5601231</v>
      </c>
      <c r="B1817" s="1" t="s">
        <v>1820</v>
      </c>
      <c r="D1817" s="2">
        <v>0</v>
      </c>
      <c r="E1817" s="2" t="s">
        <v>0</v>
      </c>
      <c r="G1817" s="1" t="s">
        <v>786</v>
      </c>
      <c r="H1817" s="2">
        <v>1</v>
      </c>
      <c r="I1817" s="2">
        <v>7</v>
      </c>
      <c r="J1817" s="15">
        <v>6.23</v>
      </c>
      <c r="K1817" s="40">
        <v>0</v>
      </c>
    </row>
    <row r="1818" spans="1:11" x14ac:dyDescent="0.25">
      <c r="A1818" s="1">
        <v>5601808</v>
      </c>
      <c r="B1818" s="1" t="s">
        <v>1821</v>
      </c>
      <c r="D1818" s="2">
        <v>0</v>
      </c>
      <c r="E1818" s="2" t="s">
        <v>0</v>
      </c>
      <c r="G1818" s="1" t="s">
        <v>786</v>
      </c>
      <c r="H1818" s="2">
        <v>12</v>
      </c>
      <c r="I1818" s="2">
        <v>7</v>
      </c>
      <c r="J1818" s="15">
        <v>5.1100000000000003</v>
      </c>
      <c r="K1818" s="40">
        <v>0</v>
      </c>
    </row>
    <row r="1819" spans="1:11" x14ac:dyDescent="0.25">
      <c r="A1819" s="1">
        <v>5611066</v>
      </c>
      <c r="B1819" s="1" t="s">
        <v>1822</v>
      </c>
      <c r="D1819" s="2">
        <v>0</v>
      </c>
      <c r="E1819" s="2" t="s">
        <v>0</v>
      </c>
      <c r="G1819" s="1" t="s">
        <v>786</v>
      </c>
      <c r="H1819" s="2">
        <v>1</v>
      </c>
      <c r="J1819" s="15">
        <v>8.24</v>
      </c>
      <c r="K1819" s="40">
        <v>0</v>
      </c>
    </row>
    <row r="1820" spans="1:11" x14ac:dyDescent="0.25">
      <c r="A1820" s="1">
        <v>5620674</v>
      </c>
      <c r="B1820" s="1" t="s">
        <v>1823</v>
      </c>
      <c r="D1820" s="2">
        <v>0</v>
      </c>
      <c r="E1820" s="2" t="s">
        <v>0</v>
      </c>
      <c r="G1820" s="1" t="s">
        <v>1968</v>
      </c>
      <c r="H1820" s="2">
        <v>1</v>
      </c>
      <c r="J1820" s="15">
        <v>9.89</v>
      </c>
      <c r="K1820" s="40">
        <v>0</v>
      </c>
    </row>
    <row r="1821" spans="1:11" x14ac:dyDescent="0.25">
      <c r="A1821" s="1">
        <v>5630262</v>
      </c>
      <c r="B1821" s="1" t="s">
        <v>1824</v>
      </c>
      <c r="D1821" s="2">
        <v>0</v>
      </c>
      <c r="E1821" s="2" t="s">
        <v>0</v>
      </c>
      <c r="G1821" s="1" t="s">
        <v>786</v>
      </c>
      <c r="H1821" s="2">
        <v>1</v>
      </c>
      <c r="J1821" s="15">
        <v>4.75</v>
      </c>
      <c r="K1821" s="40">
        <v>0</v>
      </c>
    </row>
    <row r="1822" spans="1:11" x14ac:dyDescent="0.25">
      <c r="A1822" s="1">
        <v>5630267</v>
      </c>
      <c r="B1822" s="1" t="s">
        <v>1825</v>
      </c>
      <c r="D1822" s="2">
        <v>0</v>
      </c>
      <c r="E1822" s="2" t="s">
        <v>0</v>
      </c>
      <c r="G1822" s="1" t="s">
        <v>786</v>
      </c>
      <c r="H1822" s="2">
        <v>1</v>
      </c>
      <c r="I1822" s="2">
        <v>14</v>
      </c>
      <c r="J1822" s="15">
        <v>25.02</v>
      </c>
      <c r="K1822" s="40">
        <v>0</v>
      </c>
    </row>
    <row r="1823" spans="1:11" x14ac:dyDescent="0.25">
      <c r="A1823" s="1">
        <v>5630635</v>
      </c>
      <c r="B1823" s="1" t="s">
        <v>1826</v>
      </c>
      <c r="D1823" s="2">
        <v>0</v>
      </c>
      <c r="E1823" s="2" t="s">
        <v>0</v>
      </c>
      <c r="G1823" s="1" t="s">
        <v>1969</v>
      </c>
      <c r="H1823" s="2">
        <v>1</v>
      </c>
      <c r="I1823" s="2">
        <v>21</v>
      </c>
      <c r="J1823" s="15">
        <v>15.38</v>
      </c>
      <c r="K1823" s="40">
        <v>0</v>
      </c>
    </row>
    <row r="1824" spans="1:11" x14ac:dyDescent="0.25">
      <c r="A1824" s="1">
        <v>5630636</v>
      </c>
      <c r="B1824" s="1" t="s">
        <v>1827</v>
      </c>
      <c r="D1824" s="2">
        <v>0</v>
      </c>
      <c r="E1824" s="2" t="s">
        <v>0</v>
      </c>
      <c r="G1824" s="1" t="s">
        <v>1968</v>
      </c>
      <c r="H1824" s="2">
        <v>1</v>
      </c>
      <c r="J1824" s="15">
        <v>36.53</v>
      </c>
      <c r="K1824" s="40">
        <v>0</v>
      </c>
    </row>
    <row r="1825" spans="1:11" x14ac:dyDescent="0.25">
      <c r="A1825" s="1">
        <v>5630650</v>
      </c>
      <c r="B1825" s="1" t="s">
        <v>1828</v>
      </c>
      <c r="D1825" s="2">
        <v>0</v>
      </c>
      <c r="E1825" s="2" t="s">
        <v>0</v>
      </c>
      <c r="G1825" s="1" t="s">
        <v>1969</v>
      </c>
      <c r="H1825" s="2">
        <v>1</v>
      </c>
      <c r="I1825" s="2">
        <v>7</v>
      </c>
      <c r="J1825" s="15">
        <v>48.42</v>
      </c>
      <c r="K1825" s="40">
        <v>0</v>
      </c>
    </row>
    <row r="1826" spans="1:11" x14ac:dyDescent="0.25">
      <c r="A1826" s="1">
        <v>5630651</v>
      </c>
      <c r="B1826" s="1" t="s">
        <v>1829</v>
      </c>
      <c r="D1826" s="2">
        <v>0</v>
      </c>
      <c r="E1826" s="2" t="s">
        <v>0</v>
      </c>
      <c r="G1826" s="1" t="s">
        <v>1969</v>
      </c>
      <c r="H1826" s="2">
        <v>1</v>
      </c>
      <c r="I1826" s="2">
        <v>21</v>
      </c>
      <c r="J1826" s="15">
        <v>64.94</v>
      </c>
      <c r="K1826" s="40">
        <v>0</v>
      </c>
    </row>
    <row r="1827" spans="1:11" x14ac:dyDescent="0.25">
      <c r="A1827" s="1">
        <v>5640232</v>
      </c>
      <c r="B1827" s="1" t="s">
        <v>1830</v>
      </c>
      <c r="D1827" s="2">
        <v>0</v>
      </c>
      <c r="E1827" s="2" t="s">
        <v>0</v>
      </c>
      <c r="G1827" s="1" t="s">
        <v>786</v>
      </c>
      <c r="H1827" s="2">
        <v>1</v>
      </c>
      <c r="I1827" s="2">
        <v>7</v>
      </c>
      <c r="J1827" s="15">
        <v>68.44</v>
      </c>
      <c r="K1827" s="40">
        <v>0</v>
      </c>
    </row>
    <row r="1828" spans="1:11" x14ac:dyDescent="0.25">
      <c r="A1828" s="1">
        <v>5811263</v>
      </c>
      <c r="B1828" s="1" t="s">
        <v>1831</v>
      </c>
      <c r="D1828" s="2">
        <v>0</v>
      </c>
      <c r="E1828" s="2" t="s">
        <v>1902</v>
      </c>
      <c r="G1828" s="1" t="s">
        <v>786</v>
      </c>
      <c r="H1828" s="2">
        <v>1</v>
      </c>
      <c r="I1828" s="2">
        <v>21</v>
      </c>
      <c r="J1828" s="15">
        <v>22.11</v>
      </c>
      <c r="K1828" s="40">
        <v>0</v>
      </c>
    </row>
    <row r="1829" spans="1:11" x14ac:dyDescent="0.25">
      <c r="A1829" s="1">
        <v>5811270</v>
      </c>
      <c r="B1829" s="1" t="s">
        <v>1832</v>
      </c>
      <c r="D1829" s="2">
        <v>0</v>
      </c>
      <c r="E1829" s="2" t="s">
        <v>0</v>
      </c>
      <c r="G1829" s="1" t="s">
        <v>786</v>
      </c>
      <c r="H1829" s="2">
        <v>1</v>
      </c>
      <c r="J1829" s="15">
        <v>13.55</v>
      </c>
      <c r="K1829" s="40">
        <v>0</v>
      </c>
    </row>
    <row r="1830" spans="1:11" x14ac:dyDescent="0.25">
      <c r="A1830" s="1">
        <v>6003020</v>
      </c>
      <c r="B1830" s="1" t="s">
        <v>1833</v>
      </c>
      <c r="D1830" s="2">
        <v>0</v>
      </c>
      <c r="E1830" s="2" t="s">
        <v>0</v>
      </c>
      <c r="G1830" s="1" t="s">
        <v>786</v>
      </c>
      <c r="H1830" s="2">
        <v>1</v>
      </c>
      <c r="I1830" s="2">
        <v>7</v>
      </c>
      <c r="J1830" s="15">
        <v>9.18</v>
      </c>
      <c r="K1830" s="40">
        <v>0</v>
      </c>
    </row>
    <row r="1831" spans="1:11" x14ac:dyDescent="0.25">
      <c r="A1831" s="1">
        <v>6003104</v>
      </c>
      <c r="B1831" s="1" t="s">
        <v>1834</v>
      </c>
      <c r="D1831" s="2">
        <v>0</v>
      </c>
      <c r="E1831" s="2" t="s">
        <v>0</v>
      </c>
      <c r="G1831" s="1" t="s">
        <v>786</v>
      </c>
      <c r="H1831" s="2">
        <v>1</v>
      </c>
      <c r="I1831" s="2">
        <v>7</v>
      </c>
      <c r="J1831" s="15">
        <v>2.72</v>
      </c>
      <c r="K1831" s="40">
        <v>0</v>
      </c>
    </row>
    <row r="1832" spans="1:11" x14ac:dyDescent="0.25">
      <c r="A1832" s="1">
        <v>6003201</v>
      </c>
      <c r="B1832" s="1" t="s">
        <v>1835</v>
      </c>
      <c r="D1832" s="2">
        <v>0</v>
      </c>
      <c r="E1832" s="2" t="s">
        <v>0</v>
      </c>
      <c r="G1832" s="1" t="s">
        <v>786</v>
      </c>
      <c r="H1832" s="2">
        <v>1</v>
      </c>
      <c r="I1832" s="2">
        <v>7</v>
      </c>
      <c r="J1832" s="15">
        <v>11.25</v>
      </c>
      <c r="K1832" s="40">
        <v>0</v>
      </c>
    </row>
    <row r="1833" spans="1:11" x14ac:dyDescent="0.25">
      <c r="A1833" s="1">
        <v>6031002</v>
      </c>
      <c r="B1833" s="1" t="s">
        <v>1836</v>
      </c>
      <c r="D1833" s="2">
        <v>0</v>
      </c>
      <c r="E1833" s="2" t="s">
        <v>0</v>
      </c>
      <c r="G1833" s="1" t="s">
        <v>786</v>
      </c>
      <c r="H1833" s="2">
        <v>1</v>
      </c>
      <c r="J1833" s="15">
        <v>22.79</v>
      </c>
      <c r="K1833" s="40">
        <v>0</v>
      </c>
    </row>
    <row r="1834" spans="1:11" x14ac:dyDescent="0.25">
      <c r="A1834" s="1">
        <v>6033205</v>
      </c>
      <c r="B1834" s="1" t="s">
        <v>1837</v>
      </c>
      <c r="D1834" s="2">
        <v>0</v>
      </c>
      <c r="E1834" s="2" t="s">
        <v>0</v>
      </c>
      <c r="G1834" s="1" t="s">
        <v>786</v>
      </c>
      <c r="H1834" s="2">
        <v>1</v>
      </c>
      <c r="I1834" s="2">
        <v>21</v>
      </c>
      <c r="J1834" s="15">
        <v>32.31</v>
      </c>
      <c r="K1834" s="40">
        <v>0</v>
      </c>
    </row>
    <row r="1835" spans="1:11" x14ac:dyDescent="0.25">
      <c r="A1835" s="1">
        <v>6033208</v>
      </c>
      <c r="B1835" s="1" t="s">
        <v>1838</v>
      </c>
      <c r="D1835" s="2">
        <v>0</v>
      </c>
      <c r="E1835" s="2" t="s">
        <v>0</v>
      </c>
      <c r="G1835" s="1" t="s">
        <v>786</v>
      </c>
      <c r="H1835" s="2">
        <v>1</v>
      </c>
      <c r="I1835" s="2">
        <v>28</v>
      </c>
      <c r="K1835" s="40">
        <v>0</v>
      </c>
    </row>
    <row r="1836" spans="1:11" x14ac:dyDescent="0.25">
      <c r="A1836" s="1">
        <v>6033305</v>
      </c>
      <c r="B1836" s="1" t="s">
        <v>1839</v>
      </c>
      <c r="D1836" s="2">
        <v>0</v>
      </c>
      <c r="E1836" s="2" t="s">
        <v>1900</v>
      </c>
      <c r="G1836" s="1" t="s">
        <v>786</v>
      </c>
      <c r="H1836" s="2">
        <v>1</v>
      </c>
      <c r="J1836" s="15">
        <v>10.98</v>
      </c>
      <c r="K1836" s="40">
        <v>0</v>
      </c>
    </row>
    <row r="1837" spans="1:11" x14ac:dyDescent="0.25">
      <c r="A1837" s="1">
        <v>6033374</v>
      </c>
      <c r="B1837" s="1" t="s">
        <v>1840</v>
      </c>
      <c r="D1837" s="2">
        <v>0</v>
      </c>
      <c r="E1837" s="2" t="s">
        <v>0</v>
      </c>
      <c r="G1837" s="1" t="s">
        <v>786</v>
      </c>
      <c r="H1837" s="2">
        <v>1</v>
      </c>
      <c r="I1837" s="2">
        <v>28</v>
      </c>
      <c r="J1837" s="15">
        <v>16.95</v>
      </c>
      <c r="K1837" s="40">
        <v>0</v>
      </c>
    </row>
    <row r="1838" spans="1:11" x14ac:dyDescent="0.25">
      <c r="A1838" s="1">
        <v>6112246</v>
      </c>
      <c r="B1838" s="1" t="s">
        <v>1841</v>
      </c>
      <c r="D1838" s="2">
        <v>0</v>
      </c>
      <c r="E1838" s="2" t="s">
        <v>0</v>
      </c>
      <c r="G1838" s="1" t="s">
        <v>786</v>
      </c>
      <c r="H1838" s="2">
        <v>1</v>
      </c>
      <c r="I1838" s="2">
        <v>7</v>
      </c>
      <c r="J1838" s="15">
        <v>30.62</v>
      </c>
      <c r="K1838" s="40">
        <v>0</v>
      </c>
    </row>
    <row r="1839" spans="1:11" x14ac:dyDescent="0.25">
      <c r="A1839" s="1">
        <v>6112251</v>
      </c>
      <c r="B1839" s="1" t="s">
        <v>1842</v>
      </c>
      <c r="D1839" s="2">
        <v>0</v>
      </c>
      <c r="E1839" s="2" t="s">
        <v>0</v>
      </c>
      <c r="G1839" s="1" t="s">
        <v>786</v>
      </c>
      <c r="H1839" s="2">
        <v>1</v>
      </c>
      <c r="I1839" s="2">
        <v>14</v>
      </c>
      <c r="J1839" s="15">
        <v>19.03</v>
      </c>
      <c r="K1839" s="40">
        <v>0</v>
      </c>
    </row>
    <row r="1840" spans="1:11" x14ac:dyDescent="0.25">
      <c r="A1840" s="1">
        <v>6112252</v>
      </c>
      <c r="B1840" s="1" t="s">
        <v>1843</v>
      </c>
      <c r="D1840" s="2">
        <v>0</v>
      </c>
      <c r="E1840" s="2" t="s">
        <v>0</v>
      </c>
      <c r="G1840" s="1" t="s">
        <v>786</v>
      </c>
      <c r="H1840" s="2">
        <v>1</v>
      </c>
      <c r="I1840" s="2">
        <v>7</v>
      </c>
      <c r="J1840" s="15">
        <v>60.57</v>
      </c>
      <c r="K1840" s="40">
        <v>0</v>
      </c>
    </row>
    <row r="1841" spans="1:11" x14ac:dyDescent="0.25">
      <c r="A1841" s="1">
        <v>6112254</v>
      </c>
      <c r="B1841" s="1" t="s">
        <v>1844</v>
      </c>
      <c r="D1841" s="2">
        <v>0</v>
      </c>
      <c r="E1841" s="2" t="s">
        <v>0</v>
      </c>
      <c r="G1841" s="1" t="s">
        <v>786</v>
      </c>
      <c r="H1841" s="2">
        <v>1</v>
      </c>
      <c r="I1841" s="2">
        <v>21</v>
      </c>
      <c r="J1841" s="15">
        <v>10.58</v>
      </c>
      <c r="K1841" s="40">
        <v>0</v>
      </c>
    </row>
    <row r="1842" spans="1:11" x14ac:dyDescent="0.25">
      <c r="A1842" s="1">
        <v>6112261</v>
      </c>
      <c r="B1842" s="1" t="s">
        <v>1845</v>
      </c>
      <c r="D1842" s="2">
        <v>0</v>
      </c>
      <c r="E1842" s="2" t="s">
        <v>0</v>
      </c>
      <c r="G1842" s="1" t="s">
        <v>786</v>
      </c>
      <c r="H1842" s="2">
        <v>1</v>
      </c>
      <c r="J1842" s="15">
        <v>19.03</v>
      </c>
      <c r="K1842" s="40">
        <v>0</v>
      </c>
    </row>
    <row r="1843" spans="1:11" x14ac:dyDescent="0.25">
      <c r="A1843" s="1">
        <v>6113211</v>
      </c>
      <c r="B1843" s="1" t="s">
        <v>1846</v>
      </c>
      <c r="D1843" s="2">
        <v>0</v>
      </c>
      <c r="E1843" s="2" t="s">
        <v>0</v>
      </c>
      <c r="G1843" s="1" t="s">
        <v>786</v>
      </c>
      <c r="H1843" s="2">
        <v>1</v>
      </c>
      <c r="I1843" s="2">
        <v>28</v>
      </c>
      <c r="J1843" s="15">
        <v>12.69</v>
      </c>
      <c r="K1843" s="40">
        <v>0</v>
      </c>
    </row>
    <row r="1844" spans="1:11" x14ac:dyDescent="0.25">
      <c r="A1844" s="1">
        <v>6114088</v>
      </c>
      <c r="B1844" s="1" t="s">
        <v>1847</v>
      </c>
      <c r="D1844" s="2">
        <v>0</v>
      </c>
      <c r="E1844" s="2" t="s">
        <v>0</v>
      </c>
      <c r="G1844" s="1" t="s">
        <v>786</v>
      </c>
      <c r="H1844" s="2">
        <v>1</v>
      </c>
      <c r="J1844" s="15">
        <v>9.5299999999999994</v>
      </c>
      <c r="K1844" s="40">
        <v>0</v>
      </c>
    </row>
    <row r="1845" spans="1:11" x14ac:dyDescent="0.25">
      <c r="A1845" s="1">
        <v>6131189</v>
      </c>
      <c r="B1845" s="1" t="s">
        <v>1848</v>
      </c>
      <c r="D1845" s="2">
        <v>0</v>
      </c>
      <c r="E1845" s="2" t="s">
        <v>0</v>
      </c>
      <c r="G1845" s="1" t="s">
        <v>786</v>
      </c>
      <c r="H1845" s="2">
        <v>1</v>
      </c>
      <c r="I1845" s="2">
        <v>7</v>
      </c>
      <c r="J1845" s="15">
        <v>125.43</v>
      </c>
      <c r="K1845" s="40">
        <v>0</v>
      </c>
    </row>
    <row r="1846" spans="1:11" x14ac:dyDescent="0.25">
      <c r="A1846" s="1">
        <v>6133315</v>
      </c>
      <c r="B1846" s="1" t="s">
        <v>1849</v>
      </c>
      <c r="D1846" s="2">
        <v>0</v>
      </c>
      <c r="E1846" s="2" t="s">
        <v>302</v>
      </c>
      <c r="G1846" s="1" t="s">
        <v>1968</v>
      </c>
      <c r="H1846" s="2">
        <v>1</v>
      </c>
      <c r="J1846" s="15">
        <v>278.86</v>
      </c>
      <c r="K1846" s="40">
        <v>0</v>
      </c>
    </row>
    <row r="1847" spans="1:11" x14ac:dyDescent="0.25">
      <c r="A1847" s="1">
        <v>6134040</v>
      </c>
      <c r="B1847" s="1" t="s">
        <v>1850</v>
      </c>
      <c r="D1847" s="2">
        <v>0</v>
      </c>
      <c r="E1847" s="2" t="s">
        <v>0</v>
      </c>
      <c r="G1847" s="1" t="s">
        <v>786</v>
      </c>
      <c r="H1847" s="2">
        <v>1</v>
      </c>
      <c r="J1847" s="15">
        <v>1.96</v>
      </c>
      <c r="K1847" s="40">
        <v>0</v>
      </c>
    </row>
    <row r="1848" spans="1:11" x14ac:dyDescent="0.25">
      <c r="A1848" s="1">
        <v>6163244</v>
      </c>
      <c r="B1848" s="1" t="s">
        <v>1851</v>
      </c>
      <c r="D1848" s="2">
        <v>0</v>
      </c>
      <c r="E1848" s="2" t="s">
        <v>0</v>
      </c>
      <c r="G1848" s="1" t="s">
        <v>786</v>
      </c>
      <c r="H1848" s="2">
        <v>1</v>
      </c>
      <c r="I1848" s="2">
        <v>28</v>
      </c>
      <c r="J1848" s="15">
        <v>36.380000000000003</v>
      </c>
      <c r="K1848" s="40">
        <v>0</v>
      </c>
    </row>
    <row r="1849" spans="1:11" x14ac:dyDescent="0.25">
      <c r="A1849" s="1">
        <v>6192105</v>
      </c>
      <c r="B1849" s="1" t="s">
        <v>1852</v>
      </c>
      <c r="D1849" s="2">
        <v>0</v>
      </c>
      <c r="E1849" s="2" t="s">
        <v>0</v>
      </c>
      <c r="G1849" s="1" t="s">
        <v>786</v>
      </c>
      <c r="H1849" s="2">
        <v>1</v>
      </c>
      <c r="I1849" s="2">
        <v>21</v>
      </c>
      <c r="J1849" s="15">
        <v>28.53</v>
      </c>
      <c r="K1849" s="40">
        <v>0</v>
      </c>
    </row>
    <row r="1850" spans="1:11" x14ac:dyDescent="0.25">
      <c r="A1850" s="1">
        <v>6203154</v>
      </c>
      <c r="B1850" s="1" t="s">
        <v>1853</v>
      </c>
      <c r="D1850" s="2">
        <v>0</v>
      </c>
      <c r="E1850" s="2" t="s">
        <v>0</v>
      </c>
      <c r="G1850" s="1" t="s">
        <v>1969</v>
      </c>
      <c r="H1850" s="2">
        <v>1</v>
      </c>
      <c r="I1850" s="2">
        <v>7</v>
      </c>
      <c r="J1850" s="15">
        <v>3.45</v>
      </c>
      <c r="K1850" s="40">
        <v>0</v>
      </c>
    </row>
    <row r="1851" spans="1:11" x14ac:dyDescent="0.25">
      <c r="A1851" s="1">
        <v>6223460</v>
      </c>
      <c r="B1851" s="1" t="s">
        <v>1854</v>
      </c>
      <c r="D1851" s="2">
        <v>0</v>
      </c>
      <c r="E1851" s="2" t="s">
        <v>0</v>
      </c>
      <c r="G1851" s="1" t="s">
        <v>786</v>
      </c>
      <c r="H1851" s="2">
        <v>1</v>
      </c>
      <c r="J1851" s="15">
        <v>44.85</v>
      </c>
      <c r="K1851" s="40">
        <v>0</v>
      </c>
    </row>
    <row r="1852" spans="1:11" x14ac:dyDescent="0.25">
      <c r="A1852" s="1">
        <v>6282293</v>
      </c>
      <c r="B1852" s="1" t="s">
        <v>1855</v>
      </c>
      <c r="D1852" s="2">
        <v>0</v>
      </c>
      <c r="E1852" s="2" t="s">
        <v>0</v>
      </c>
      <c r="G1852" s="1" t="s">
        <v>786</v>
      </c>
      <c r="H1852" s="2">
        <v>1</v>
      </c>
      <c r="I1852" s="2">
        <v>7</v>
      </c>
      <c r="J1852" s="15">
        <v>8.59</v>
      </c>
      <c r="K1852" s="40">
        <v>0</v>
      </c>
    </row>
    <row r="1853" spans="1:11" x14ac:dyDescent="0.25">
      <c r="A1853" s="1">
        <v>6283003</v>
      </c>
      <c r="B1853" s="1" t="s">
        <v>1856</v>
      </c>
      <c r="D1853" s="2">
        <v>0</v>
      </c>
      <c r="E1853" s="2" t="s">
        <v>0</v>
      </c>
      <c r="G1853" s="1" t="s">
        <v>786</v>
      </c>
      <c r="H1853" s="2">
        <v>1</v>
      </c>
      <c r="I1853" s="2">
        <v>14</v>
      </c>
      <c r="J1853" s="15">
        <v>144.30000000000001</v>
      </c>
      <c r="K1853" s="40">
        <v>0</v>
      </c>
    </row>
    <row r="1854" spans="1:11" x14ac:dyDescent="0.25">
      <c r="A1854" s="1">
        <v>6283004</v>
      </c>
      <c r="B1854" s="1" t="s">
        <v>1857</v>
      </c>
      <c r="D1854" s="2">
        <v>0</v>
      </c>
      <c r="E1854" s="2" t="s">
        <v>0</v>
      </c>
      <c r="G1854" s="1" t="s">
        <v>786</v>
      </c>
      <c r="H1854" s="2">
        <v>1</v>
      </c>
      <c r="I1854" s="2">
        <v>14</v>
      </c>
      <c r="J1854" s="15">
        <v>144.30000000000001</v>
      </c>
      <c r="K1854" s="40">
        <v>0</v>
      </c>
    </row>
    <row r="1855" spans="1:11" x14ac:dyDescent="0.25">
      <c r="A1855" s="1">
        <v>6283243</v>
      </c>
      <c r="B1855" s="1" t="s">
        <v>1858</v>
      </c>
      <c r="D1855" s="2">
        <v>0</v>
      </c>
      <c r="E1855" s="2" t="s">
        <v>0</v>
      </c>
      <c r="G1855" s="1" t="s">
        <v>786</v>
      </c>
      <c r="H1855" s="2">
        <v>1</v>
      </c>
      <c r="J1855" s="15">
        <v>3.38</v>
      </c>
      <c r="K1855" s="40">
        <v>0</v>
      </c>
    </row>
    <row r="1856" spans="1:11" x14ac:dyDescent="0.25">
      <c r="A1856" s="1">
        <v>6283256</v>
      </c>
      <c r="B1856" s="1" t="s">
        <v>1859</v>
      </c>
      <c r="D1856" s="2">
        <v>0</v>
      </c>
      <c r="E1856" s="2" t="s">
        <v>0</v>
      </c>
      <c r="G1856" s="1" t="s">
        <v>786</v>
      </c>
      <c r="H1856" s="2">
        <v>1</v>
      </c>
      <c r="I1856" s="2">
        <v>7</v>
      </c>
      <c r="J1856" s="15">
        <v>2.34</v>
      </c>
      <c r="K1856" s="40">
        <v>0</v>
      </c>
    </row>
    <row r="1857" spans="1:11" x14ac:dyDescent="0.25">
      <c r="A1857" s="1">
        <v>6283265</v>
      </c>
      <c r="B1857" s="1" t="s">
        <v>1860</v>
      </c>
      <c r="D1857" s="2">
        <v>0</v>
      </c>
      <c r="E1857" s="2" t="s">
        <v>0</v>
      </c>
      <c r="G1857" s="1" t="s">
        <v>786</v>
      </c>
      <c r="H1857" s="2">
        <v>1</v>
      </c>
      <c r="J1857" s="15">
        <v>12.96</v>
      </c>
      <c r="K1857" s="40">
        <v>0</v>
      </c>
    </row>
    <row r="1858" spans="1:11" x14ac:dyDescent="0.25">
      <c r="A1858" s="1">
        <v>6283429</v>
      </c>
      <c r="B1858" s="1" t="s">
        <v>1861</v>
      </c>
      <c r="D1858" s="2">
        <v>0</v>
      </c>
      <c r="E1858" s="2" t="s">
        <v>0</v>
      </c>
      <c r="G1858" s="1" t="s">
        <v>786</v>
      </c>
      <c r="H1858" s="2">
        <v>1</v>
      </c>
      <c r="I1858" s="2">
        <v>7</v>
      </c>
      <c r="J1858" s="15">
        <v>16.649999999999999</v>
      </c>
      <c r="K1858" s="40">
        <v>0</v>
      </c>
    </row>
    <row r="1859" spans="1:11" x14ac:dyDescent="0.25">
      <c r="A1859" s="1">
        <v>6283431</v>
      </c>
      <c r="B1859" s="1" t="s">
        <v>1862</v>
      </c>
      <c r="D1859" s="2">
        <v>0</v>
      </c>
      <c r="E1859" s="2" t="s">
        <v>0</v>
      </c>
      <c r="G1859" s="1" t="s">
        <v>786</v>
      </c>
      <c r="H1859" s="2">
        <v>1</v>
      </c>
      <c r="I1859" s="2">
        <v>7</v>
      </c>
      <c r="J1859" s="15">
        <v>16.649999999999999</v>
      </c>
      <c r="K1859" s="40">
        <v>0</v>
      </c>
    </row>
    <row r="1860" spans="1:11" x14ac:dyDescent="0.25">
      <c r="A1860" s="1">
        <v>6283448</v>
      </c>
      <c r="B1860" s="1" t="s">
        <v>1863</v>
      </c>
      <c r="D1860" s="2">
        <v>0</v>
      </c>
      <c r="E1860" s="2" t="s">
        <v>1900</v>
      </c>
      <c r="G1860" s="1" t="s">
        <v>786</v>
      </c>
      <c r="H1860" s="2">
        <v>1</v>
      </c>
      <c r="I1860" s="2">
        <v>28</v>
      </c>
      <c r="J1860" s="15">
        <v>0.44</v>
      </c>
      <c r="K1860" s="40">
        <v>0</v>
      </c>
    </row>
    <row r="1861" spans="1:11" x14ac:dyDescent="0.25">
      <c r="A1861" s="1">
        <v>6283900</v>
      </c>
      <c r="B1861" s="1" t="s">
        <v>1864</v>
      </c>
      <c r="D1861" s="2">
        <v>0</v>
      </c>
      <c r="E1861" s="2" t="s">
        <v>0</v>
      </c>
      <c r="G1861" s="1" t="s">
        <v>786</v>
      </c>
      <c r="H1861" s="2">
        <v>1</v>
      </c>
      <c r="I1861" s="2">
        <v>14</v>
      </c>
      <c r="J1861" s="15">
        <v>8.8000000000000007</v>
      </c>
      <c r="K1861" s="40">
        <v>0</v>
      </c>
    </row>
    <row r="1862" spans="1:11" x14ac:dyDescent="0.25">
      <c r="A1862" s="1">
        <v>6284008</v>
      </c>
      <c r="B1862" s="1" t="s">
        <v>1865</v>
      </c>
      <c r="D1862" s="2">
        <v>0</v>
      </c>
      <c r="E1862" s="2" t="s">
        <v>56</v>
      </c>
      <c r="G1862" s="1" t="s">
        <v>786</v>
      </c>
      <c r="H1862" s="2">
        <v>1</v>
      </c>
      <c r="J1862" s="15">
        <v>14.71</v>
      </c>
      <c r="K1862" s="40">
        <v>0</v>
      </c>
    </row>
    <row r="1863" spans="1:11" x14ac:dyDescent="0.25">
      <c r="A1863" s="1">
        <v>6284009</v>
      </c>
      <c r="B1863" s="1" t="s">
        <v>1866</v>
      </c>
      <c r="D1863" s="2">
        <v>0</v>
      </c>
      <c r="E1863" s="2" t="s">
        <v>56</v>
      </c>
      <c r="G1863" s="1" t="s">
        <v>786</v>
      </c>
      <c r="H1863" s="2">
        <v>1</v>
      </c>
      <c r="J1863" s="15">
        <v>17.489999999999998</v>
      </c>
      <c r="K1863" s="40">
        <v>0</v>
      </c>
    </row>
    <row r="1864" spans="1:11" x14ac:dyDescent="0.25">
      <c r="A1864" s="1">
        <v>6290703</v>
      </c>
      <c r="B1864" s="1" t="s">
        <v>1867</v>
      </c>
      <c r="D1864" s="2">
        <v>0</v>
      </c>
      <c r="E1864" s="2" t="s">
        <v>1900</v>
      </c>
      <c r="G1864" s="1" t="s">
        <v>786</v>
      </c>
      <c r="H1864" s="2">
        <v>1</v>
      </c>
      <c r="J1864" s="15">
        <v>23.28</v>
      </c>
      <c r="K1864" s="40">
        <v>0</v>
      </c>
    </row>
    <row r="1865" spans="1:11" x14ac:dyDescent="0.25">
      <c r="A1865" s="1">
        <v>6302003</v>
      </c>
      <c r="B1865" s="1" t="s">
        <v>1868</v>
      </c>
      <c r="D1865" s="2">
        <v>0</v>
      </c>
      <c r="E1865" s="2" t="s">
        <v>0</v>
      </c>
      <c r="G1865" s="1" t="s">
        <v>786</v>
      </c>
      <c r="H1865" s="2">
        <v>1</v>
      </c>
      <c r="I1865" s="2">
        <v>14</v>
      </c>
      <c r="K1865" s="40">
        <v>0</v>
      </c>
    </row>
    <row r="1866" spans="1:11" x14ac:dyDescent="0.25">
      <c r="A1866" s="1">
        <v>6352412</v>
      </c>
      <c r="B1866" s="1" t="s">
        <v>1869</v>
      </c>
      <c r="D1866" s="2">
        <v>0</v>
      </c>
      <c r="E1866" s="2" t="s">
        <v>0</v>
      </c>
      <c r="G1866" s="1" t="s">
        <v>786</v>
      </c>
      <c r="H1866" s="2">
        <v>1</v>
      </c>
      <c r="J1866" s="15">
        <v>13.55</v>
      </c>
      <c r="K1866" s="40">
        <v>0</v>
      </c>
    </row>
    <row r="1867" spans="1:11" x14ac:dyDescent="0.25">
      <c r="A1867" s="1">
        <v>6361409</v>
      </c>
      <c r="B1867" s="1" t="s">
        <v>1870</v>
      </c>
      <c r="D1867" s="2">
        <v>0</v>
      </c>
      <c r="E1867" s="2" t="s">
        <v>0</v>
      </c>
      <c r="G1867" s="1" t="s">
        <v>786</v>
      </c>
      <c r="H1867" s="2">
        <v>1</v>
      </c>
      <c r="I1867" s="2">
        <v>14</v>
      </c>
      <c r="J1867" s="15">
        <v>462.39</v>
      </c>
      <c r="K1867" s="40">
        <v>0</v>
      </c>
    </row>
    <row r="1868" spans="1:11" x14ac:dyDescent="0.25">
      <c r="A1868" s="1">
        <v>6368805</v>
      </c>
      <c r="B1868" s="1" t="s">
        <v>1871</v>
      </c>
      <c r="D1868" s="2">
        <v>0</v>
      </c>
      <c r="E1868" s="2" t="s">
        <v>0</v>
      </c>
      <c r="G1868" s="1" t="s">
        <v>786</v>
      </c>
      <c r="H1868" s="2">
        <v>1</v>
      </c>
      <c r="I1868" s="2">
        <v>7</v>
      </c>
      <c r="J1868" s="15">
        <v>146.53</v>
      </c>
      <c r="K1868" s="40">
        <v>0</v>
      </c>
    </row>
    <row r="1869" spans="1:11" x14ac:dyDescent="0.25">
      <c r="A1869" s="1">
        <v>6411112</v>
      </c>
      <c r="B1869" s="1" t="s">
        <v>1872</v>
      </c>
      <c r="D1869" s="2">
        <v>0</v>
      </c>
      <c r="E1869" s="2" t="s">
        <v>0</v>
      </c>
      <c r="G1869" s="1" t="s">
        <v>786</v>
      </c>
      <c r="H1869" s="2">
        <v>1</v>
      </c>
      <c r="J1869" s="15">
        <v>9.26</v>
      </c>
      <c r="K1869" s="40">
        <v>0</v>
      </c>
    </row>
    <row r="1870" spans="1:11" x14ac:dyDescent="0.25">
      <c r="A1870" s="1">
        <v>6633208</v>
      </c>
      <c r="B1870" s="1" t="s">
        <v>1873</v>
      </c>
      <c r="D1870" s="2">
        <v>0</v>
      </c>
      <c r="E1870" s="2" t="s">
        <v>0</v>
      </c>
      <c r="G1870" s="1" t="s">
        <v>786</v>
      </c>
      <c r="H1870" s="2">
        <v>1</v>
      </c>
      <c r="I1870" s="2">
        <v>7</v>
      </c>
      <c r="J1870" s="15">
        <v>2.25</v>
      </c>
      <c r="K1870" s="40">
        <v>0</v>
      </c>
    </row>
    <row r="1871" spans="1:11" x14ac:dyDescent="0.25">
      <c r="A1871" s="1">
        <v>6633216</v>
      </c>
      <c r="B1871" s="1" t="s">
        <v>1874</v>
      </c>
      <c r="D1871" s="2">
        <v>0</v>
      </c>
      <c r="E1871" s="2" t="s">
        <v>0</v>
      </c>
      <c r="G1871" s="1" t="s">
        <v>786</v>
      </c>
      <c r="H1871" s="2">
        <v>1</v>
      </c>
      <c r="I1871" s="2">
        <v>7</v>
      </c>
      <c r="J1871" s="15">
        <v>2.1</v>
      </c>
      <c r="K1871" s="40">
        <v>0</v>
      </c>
    </row>
    <row r="1872" spans="1:11" x14ac:dyDescent="0.25">
      <c r="A1872" s="1">
        <v>6653132</v>
      </c>
      <c r="B1872" s="1" t="s">
        <v>1875</v>
      </c>
      <c r="D1872" s="2">
        <v>0</v>
      </c>
      <c r="E1872" s="2" t="s">
        <v>0</v>
      </c>
      <c r="G1872" s="1" t="s">
        <v>786</v>
      </c>
      <c r="H1872" s="2">
        <v>1</v>
      </c>
      <c r="I1872" s="2">
        <v>7</v>
      </c>
      <c r="K1872" s="40">
        <v>0</v>
      </c>
    </row>
    <row r="1873" spans="1:11" x14ac:dyDescent="0.25">
      <c r="A1873" s="1">
        <v>7124977</v>
      </c>
      <c r="B1873" s="1" t="s">
        <v>1876</v>
      </c>
      <c r="D1873" s="2">
        <v>0</v>
      </c>
      <c r="E1873" s="2" t="s">
        <v>0</v>
      </c>
      <c r="G1873" s="1" t="s">
        <v>1969</v>
      </c>
      <c r="H1873" s="2">
        <v>1</v>
      </c>
      <c r="I1873" s="2">
        <v>7</v>
      </c>
      <c r="J1873" s="15">
        <v>5.01</v>
      </c>
      <c r="K1873" s="40">
        <v>0</v>
      </c>
    </row>
    <row r="1874" spans="1:11" x14ac:dyDescent="0.25">
      <c r="A1874" s="1">
        <v>7919181</v>
      </c>
      <c r="B1874" s="1" t="s">
        <v>1877</v>
      </c>
      <c r="D1874" s="2">
        <v>0</v>
      </c>
      <c r="E1874" s="2" t="s">
        <v>0</v>
      </c>
      <c r="G1874" s="1" t="s">
        <v>1969</v>
      </c>
      <c r="H1874" s="2">
        <v>1</v>
      </c>
      <c r="I1874" s="2">
        <v>28</v>
      </c>
      <c r="J1874" s="15">
        <v>29.36</v>
      </c>
      <c r="K1874" s="40">
        <v>0</v>
      </c>
    </row>
    <row r="1875" spans="1:11" x14ac:dyDescent="0.25">
      <c r="A1875" s="1">
        <v>9000001</v>
      </c>
      <c r="B1875" s="1" t="s">
        <v>1878</v>
      </c>
      <c r="D1875" s="2">
        <v>0</v>
      </c>
      <c r="E1875" s="2" t="s">
        <v>2</v>
      </c>
      <c r="G1875" s="1" t="s">
        <v>1968</v>
      </c>
      <c r="H1875" s="2">
        <v>160</v>
      </c>
      <c r="J1875" s="15">
        <v>2.73</v>
      </c>
      <c r="K1875" s="40">
        <v>0</v>
      </c>
    </row>
    <row r="1876" spans="1:11" x14ac:dyDescent="0.25">
      <c r="A1876" s="1">
        <v>9000002</v>
      </c>
      <c r="B1876" s="1" t="s">
        <v>1879</v>
      </c>
      <c r="D1876" s="2">
        <v>0</v>
      </c>
      <c r="E1876" s="2" t="s">
        <v>0</v>
      </c>
      <c r="G1876" s="1" t="s">
        <v>1968</v>
      </c>
      <c r="H1876" s="2">
        <v>160</v>
      </c>
      <c r="J1876" s="15">
        <v>2.0099999999999998</v>
      </c>
      <c r="K1876" s="40">
        <v>0</v>
      </c>
    </row>
    <row r="1877" spans="1:11" x14ac:dyDescent="0.25">
      <c r="A1877" s="1">
        <v>9000003</v>
      </c>
      <c r="B1877" s="1" t="s">
        <v>1880</v>
      </c>
      <c r="D1877" s="2">
        <v>0</v>
      </c>
      <c r="E1877" s="2" t="s">
        <v>0</v>
      </c>
      <c r="G1877" s="1" t="s">
        <v>1968</v>
      </c>
      <c r="H1877" s="2">
        <v>1</v>
      </c>
      <c r="J1877" s="15">
        <v>28.05</v>
      </c>
      <c r="K1877" s="40">
        <v>0</v>
      </c>
    </row>
    <row r="1878" spans="1:11" x14ac:dyDescent="0.25">
      <c r="A1878" s="1">
        <v>9000004</v>
      </c>
      <c r="B1878" s="1" t="s">
        <v>1881</v>
      </c>
      <c r="D1878" s="2">
        <v>0</v>
      </c>
      <c r="E1878" s="2" t="s">
        <v>0</v>
      </c>
      <c r="G1878" s="1" t="s">
        <v>1968</v>
      </c>
      <c r="H1878" s="2">
        <v>1</v>
      </c>
      <c r="J1878" s="15">
        <v>24.41</v>
      </c>
      <c r="K1878" s="40">
        <v>0</v>
      </c>
    </row>
    <row r="1879" spans="1:11" x14ac:dyDescent="0.25">
      <c r="A1879" s="1">
        <v>9000005</v>
      </c>
      <c r="B1879" s="1" t="s">
        <v>1882</v>
      </c>
      <c r="D1879" s="2">
        <v>0</v>
      </c>
      <c r="E1879" s="2" t="s">
        <v>0</v>
      </c>
      <c r="G1879" s="1" t="s">
        <v>1968</v>
      </c>
      <c r="H1879" s="2">
        <v>1</v>
      </c>
      <c r="J1879" s="15">
        <v>27.7</v>
      </c>
      <c r="K1879" s="40">
        <v>0</v>
      </c>
    </row>
    <row r="1880" spans="1:11" x14ac:dyDescent="0.25">
      <c r="A1880" s="1">
        <v>9000006</v>
      </c>
      <c r="B1880" s="1" t="s">
        <v>1883</v>
      </c>
      <c r="D1880" s="2">
        <v>0</v>
      </c>
      <c r="E1880" s="2" t="s">
        <v>0</v>
      </c>
      <c r="G1880" s="1" t="s">
        <v>1968</v>
      </c>
      <c r="H1880" s="2">
        <v>1</v>
      </c>
      <c r="J1880" s="15">
        <v>30.48</v>
      </c>
      <c r="K1880" s="40">
        <v>0</v>
      </c>
    </row>
    <row r="1881" spans="1:11" x14ac:dyDescent="0.25">
      <c r="A1881" s="1">
        <v>9000007</v>
      </c>
      <c r="B1881" s="1" t="s">
        <v>1884</v>
      </c>
      <c r="D1881" s="2">
        <v>0</v>
      </c>
      <c r="E1881" s="2" t="s">
        <v>0</v>
      </c>
      <c r="G1881" s="1" t="s">
        <v>1968</v>
      </c>
      <c r="H1881" s="2">
        <v>1</v>
      </c>
      <c r="J1881" s="15">
        <v>26.05</v>
      </c>
      <c r="K1881" s="40">
        <v>0</v>
      </c>
    </row>
    <row r="1882" spans="1:11" x14ac:dyDescent="0.25">
      <c r="A1882" s="1">
        <v>9000008</v>
      </c>
      <c r="B1882" s="1" t="s">
        <v>1885</v>
      </c>
      <c r="D1882" s="2">
        <v>0</v>
      </c>
      <c r="E1882" s="2" t="s">
        <v>0</v>
      </c>
      <c r="G1882" s="1" t="s">
        <v>1968</v>
      </c>
      <c r="H1882" s="2">
        <v>1</v>
      </c>
      <c r="J1882" s="15">
        <v>32.520000000000003</v>
      </c>
      <c r="K1882" s="40">
        <v>0</v>
      </c>
    </row>
    <row r="1883" spans="1:11" x14ac:dyDescent="0.25">
      <c r="A1883" s="1">
        <v>9000009</v>
      </c>
      <c r="B1883" s="1" t="s">
        <v>1886</v>
      </c>
      <c r="D1883" s="2">
        <v>0</v>
      </c>
      <c r="E1883" s="2" t="s">
        <v>0</v>
      </c>
      <c r="G1883" s="1" t="s">
        <v>1968</v>
      </c>
      <c r="H1883" s="2">
        <v>1</v>
      </c>
      <c r="J1883" s="15">
        <v>24.85</v>
      </c>
      <c r="K1883" s="40">
        <v>0</v>
      </c>
    </row>
    <row r="1884" spans="1:11" x14ac:dyDescent="0.25">
      <c r="A1884" s="1">
        <v>9000010</v>
      </c>
      <c r="B1884" s="1" t="s">
        <v>1887</v>
      </c>
      <c r="D1884" s="2">
        <v>0</v>
      </c>
      <c r="E1884" s="2" t="s">
        <v>0</v>
      </c>
      <c r="G1884" s="1" t="s">
        <v>1968</v>
      </c>
      <c r="H1884" s="2">
        <v>1</v>
      </c>
      <c r="J1884" s="15">
        <v>27.89</v>
      </c>
      <c r="K1884" s="40">
        <v>0</v>
      </c>
    </row>
    <row r="1885" spans="1:11" x14ac:dyDescent="0.25">
      <c r="A1885" s="1">
        <v>9000011</v>
      </c>
      <c r="B1885" s="1" t="s">
        <v>1888</v>
      </c>
      <c r="D1885" s="2">
        <v>0</v>
      </c>
      <c r="E1885" s="2" t="s">
        <v>0</v>
      </c>
      <c r="G1885" s="1" t="s">
        <v>1968</v>
      </c>
      <c r="H1885" s="2">
        <v>1</v>
      </c>
      <c r="J1885" s="15">
        <v>13.9</v>
      </c>
      <c r="K1885" s="40">
        <v>0</v>
      </c>
    </row>
    <row r="1886" spans="1:11" x14ac:dyDescent="0.25">
      <c r="A1886" s="1">
        <v>9000012</v>
      </c>
      <c r="B1886" s="1" t="s">
        <v>1889</v>
      </c>
      <c r="D1886" s="2">
        <v>0</v>
      </c>
      <c r="E1886" s="2" t="s">
        <v>0</v>
      </c>
      <c r="G1886" s="1" t="s">
        <v>1968</v>
      </c>
      <c r="H1886" s="2">
        <v>1</v>
      </c>
      <c r="J1886" s="15">
        <v>13.52</v>
      </c>
      <c r="K1886" s="40">
        <v>0</v>
      </c>
    </row>
    <row r="1887" spans="1:11" x14ac:dyDescent="0.25">
      <c r="A1887" s="1">
        <v>9000013</v>
      </c>
      <c r="B1887" s="1" t="s">
        <v>1890</v>
      </c>
      <c r="D1887" s="2">
        <v>0</v>
      </c>
      <c r="E1887" s="2" t="s">
        <v>0</v>
      </c>
      <c r="G1887" s="1" t="s">
        <v>1968</v>
      </c>
      <c r="H1887" s="2">
        <v>1</v>
      </c>
      <c r="J1887" s="15">
        <v>16.260000000000002</v>
      </c>
      <c r="K1887" s="40">
        <v>0</v>
      </c>
    </row>
    <row r="1888" spans="1:11" x14ac:dyDescent="0.25">
      <c r="A1888" s="1">
        <v>9000014</v>
      </c>
      <c r="B1888" s="1" t="s">
        <v>1891</v>
      </c>
      <c r="D1888" s="2">
        <v>0</v>
      </c>
      <c r="E1888" s="2" t="s">
        <v>0</v>
      </c>
      <c r="G1888" s="1" t="s">
        <v>1968</v>
      </c>
      <c r="H1888" s="2">
        <v>1</v>
      </c>
      <c r="J1888" s="15">
        <v>15.44</v>
      </c>
      <c r="K1888" s="40">
        <v>0</v>
      </c>
    </row>
    <row r="1889" spans="1:11" x14ac:dyDescent="0.25">
      <c r="A1889" s="1">
        <v>9000015</v>
      </c>
      <c r="B1889" s="1" t="s">
        <v>1892</v>
      </c>
      <c r="D1889" s="2">
        <v>0</v>
      </c>
      <c r="E1889" s="2" t="s">
        <v>0</v>
      </c>
      <c r="G1889" s="1" t="s">
        <v>1968</v>
      </c>
      <c r="H1889" s="2">
        <v>1</v>
      </c>
      <c r="J1889" s="15">
        <v>21.14</v>
      </c>
      <c r="K1889" s="40">
        <v>0</v>
      </c>
    </row>
    <row r="1890" spans="1:11" x14ac:dyDescent="0.25">
      <c r="A1890" s="1">
        <v>9000016</v>
      </c>
      <c r="B1890" s="1" t="s">
        <v>1893</v>
      </c>
      <c r="D1890" s="2">
        <v>0</v>
      </c>
      <c r="E1890" s="2" t="s">
        <v>0</v>
      </c>
      <c r="G1890" s="1" t="s">
        <v>1968</v>
      </c>
      <c r="H1890" s="2">
        <v>1</v>
      </c>
      <c r="J1890" s="15">
        <v>20.440000000000001</v>
      </c>
      <c r="K1890" s="40">
        <v>0</v>
      </c>
    </row>
    <row r="1891" spans="1:11" x14ac:dyDescent="0.25">
      <c r="A1891" s="1">
        <v>9000017</v>
      </c>
      <c r="B1891" s="1" t="s">
        <v>1894</v>
      </c>
      <c r="D1891" s="2">
        <v>0</v>
      </c>
      <c r="E1891" s="2" t="s">
        <v>0</v>
      </c>
      <c r="G1891" s="1" t="s">
        <v>1968</v>
      </c>
      <c r="H1891" s="2">
        <v>1</v>
      </c>
      <c r="J1891" s="15">
        <v>21.61</v>
      </c>
      <c r="K1891" s="40">
        <v>0</v>
      </c>
    </row>
    <row r="1892" spans="1:11" x14ac:dyDescent="0.25">
      <c r="A1892" s="1">
        <v>9000018</v>
      </c>
      <c r="B1892" s="1" t="s">
        <v>1895</v>
      </c>
      <c r="D1892" s="2">
        <v>0</v>
      </c>
      <c r="E1892" s="2" t="s">
        <v>0</v>
      </c>
      <c r="G1892" s="1" t="s">
        <v>1968</v>
      </c>
      <c r="H1892" s="2">
        <v>1</v>
      </c>
      <c r="J1892" s="15">
        <v>23.24</v>
      </c>
      <c r="K1892" s="40">
        <v>0</v>
      </c>
    </row>
    <row r="1893" spans="1:11" x14ac:dyDescent="0.25">
      <c r="A1893" s="1">
        <v>9412450</v>
      </c>
      <c r="B1893" s="1" t="s">
        <v>1896</v>
      </c>
      <c r="D1893" s="2">
        <v>0</v>
      </c>
      <c r="E1893" s="2" t="s">
        <v>0</v>
      </c>
      <c r="G1893" s="1" t="s">
        <v>1968</v>
      </c>
      <c r="H1893" s="2">
        <v>1</v>
      </c>
      <c r="J1893" s="15">
        <v>19.100000000000001</v>
      </c>
      <c r="K1893" s="40">
        <v>0</v>
      </c>
    </row>
    <row r="1894" spans="1:11" x14ac:dyDescent="0.25">
      <c r="A1894" s="1">
        <v>9412612</v>
      </c>
      <c r="B1894" s="1" t="s">
        <v>1897</v>
      </c>
      <c r="D1894" s="2">
        <v>0</v>
      </c>
      <c r="E1894" s="2" t="s">
        <v>0</v>
      </c>
      <c r="G1894" s="1" t="s">
        <v>1968</v>
      </c>
      <c r="H1894" s="2">
        <v>1</v>
      </c>
      <c r="J1894" s="15">
        <v>39.21</v>
      </c>
      <c r="K1894" s="40">
        <v>0</v>
      </c>
    </row>
    <row r="1895" spans="1:11" x14ac:dyDescent="0.25">
      <c r="A1895" s="1">
        <v>9412630</v>
      </c>
      <c r="B1895" s="1" t="s">
        <v>1898</v>
      </c>
      <c r="D1895" s="2">
        <v>0</v>
      </c>
      <c r="E1895" s="2" t="s">
        <v>0</v>
      </c>
      <c r="G1895" s="1" t="s">
        <v>1969</v>
      </c>
      <c r="H1895" s="2">
        <v>1</v>
      </c>
      <c r="I1895" s="2">
        <v>21</v>
      </c>
      <c r="J1895" s="15">
        <v>1.42</v>
      </c>
      <c r="K1895" s="40">
        <v>0</v>
      </c>
    </row>
    <row r="1896" spans="1:11" x14ac:dyDescent="0.25">
      <c r="A1896" s="1">
        <v>1125713</v>
      </c>
      <c r="B1896" s="1" t="s">
        <v>1904</v>
      </c>
      <c r="D1896" s="2">
        <v>0</v>
      </c>
      <c r="E1896" s="2" t="s">
        <v>0</v>
      </c>
      <c r="G1896" s="1" t="s">
        <v>1970</v>
      </c>
      <c r="H1896" s="2">
        <v>1</v>
      </c>
      <c r="K1896" s="40">
        <v>0</v>
      </c>
    </row>
    <row r="1897" spans="1:11" x14ac:dyDescent="0.25">
      <c r="A1897" s="1">
        <v>1059172</v>
      </c>
      <c r="B1897" s="1" t="s">
        <v>1905</v>
      </c>
      <c r="D1897" s="2">
        <v>0</v>
      </c>
      <c r="E1897" s="2" t="s">
        <v>39</v>
      </c>
      <c r="G1897" s="1" t="s">
        <v>1970</v>
      </c>
      <c r="H1897" s="2">
        <v>1</v>
      </c>
      <c r="K1897" s="40">
        <v>0</v>
      </c>
    </row>
    <row r="1898" spans="1:11" x14ac:dyDescent="0.25">
      <c r="A1898" s="1">
        <v>1059042</v>
      </c>
      <c r="B1898" s="1" t="s">
        <v>1906</v>
      </c>
      <c r="D1898" s="2">
        <v>0</v>
      </c>
      <c r="E1898" s="2" t="s">
        <v>39</v>
      </c>
      <c r="G1898" s="1" t="s">
        <v>1970</v>
      </c>
      <c r="H1898" s="2">
        <v>1</v>
      </c>
      <c r="K1898" s="40">
        <v>0</v>
      </c>
    </row>
    <row r="1899" spans="1:11" x14ac:dyDescent="0.25">
      <c r="A1899" s="1">
        <v>1059043</v>
      </c>
      <c r="B1899" s="1" t="s">
        <v>1907</v>
      </c>
      <c r="D1899" s="2">
        <v>0</v>
      </c>
      <c r="E1899" s="2" t="s">
        <v>39</v>
      </c>
      <c r="G1899" s="1" t="s">
        <v>1970</v>
      </c>
      <c r="H1899" s="2">
        <v>1</v>
      </c>
      <c r="K1899" s="40">
        <v>0</v>
      </c>
    </row>
    <row r="1900" spans="1:11" x14ac:dyDescent="0.25">
      <c r="A1900" s="1">
        <v>1006924</v>
      </c>
      <c r="B1900" s="1" t="s">
        <v>1908</v>
      </c>
      <c r="D1900" s="2">
        <v>0</v>
      </c>
      <c r="E1900" s="2" t="s">
        <v>39</v>
      </c>
      <c r="G1900" s="1" t="s">
        <v>1970</v>
      </c>
      <c r="H1900" s="2">
        <v>1</v>
      </c>
      <c r="I1900" s="2">
        <v>0</v>
      </c>
      <c r="K1900" s="40">
        <v>0</v>
      </c>
    </row>
    <row r="1901" spans="1:11" x14ac:dyDescent="0.25">
      <c r="A1901" s="1">
        <v>1059082</v>
      </c>
      <c r="B1901" s="1" t="s">
        <v>1909</v>
      </c>
      <c r="D1901" s="2">
        <v>0</v>
      </c>
      <c r="E1901" s="2" t="s">
        <v>39</v>
      </c>
      <c r="G1901" s="1" t="s">
        <v>1970</v>
      </c>
      <c r="H1901" s="2">
        <v>1</v>
      </c>
      <c r="K1901" s="40">
        <v>0</v>
      </c>
    </row>
    <row r="1902" spans="1:11" x14ac:dyDescent="0.25">
      <c r="A1902" s="1">
        <v>2067190</v>
      </c>
      <c r="B1902" s="1" t="s">
        <v>1910</v>
      </c>
      <c r="D1902" s="2">
        <v>0</v>
      </c>
      <c r="E1902" s="2" t="s">
        <v>39</v>
      </c>
      <c r="G1902" s="1" t="s">
        <v>1970</v>
      </c>
      <c r="H1902" s="2">
        <v>1</v>
      </c>
      <c r="K1902" s="40">
        <v>0</v>
      </c>
    </row>
    <row r="1903" spans="1:11" x14ac:dyDescent="0.25">
      <c r="A1903" s="1">
        <v>2099252</v>
      </c>
      <c r="B1903" s="1" t="s">
        <v>1911</v>
      </c>
      <c r="D1903" s="2">
        <v>0</v>
      </c>
      <c r="E1903" s="2" t="s">
        <v>426</v>
      </c>
      <c r="G1903" s="1" t="s">
        <v>786</v>
      </c>
      <c r="H1903" s="2">
        <v>1</v>
      </c>
      <c r="J1903" s="15">
        <v>262.13</v>
      </c>
      <c r="K1903" s="40">
        <v>0</v>
      </c>
    </row>
    <row r="1904" spans="1:11" x14ac:dyDescent="0.25">
      <c r="A1904" s="1">
        <v>2069503</v>
      </c>
      <c r="B1904" s="1" t="s">
        <v>1912</v>
      </c>
      <c r="D1904" s="2">
        <v>0</v>
      </c>
      <c r="E1904" s="2" t="s">
        <v>39</v>
      </c>
      <c r="G1904" s="1" t="s">
        <v>1970</v>
      </c>
      <c r="H1904" s="2">
        <v>1</v>
      </c>
      <c r="K1904" s="40">
        <v>0</v>
      </c>
    </row>
    <row r="1905" spans="1:11" x14ac:dyDescent="0.25">
      <c r="A1905" s="1">
        <v>1094128</v>
      </c>
      <c r="B1905" s="1" t="s">
        <v>1913</v>
      </c>
      <c r="D1905" s="2">
        <v>0</v>
      </c>
      <c r="E1905" s="2" t="s">
        <v>39</v>
      </c>
      <c r="G1905" s="1" t="s">
        <v>786</v>
      </c>
      <c r="H1905" s="2">
        <v>1</v>
      </c>
      <c r="J1905" s="15">
        <v>1850.46</v>
      </c>
      <c r="K1905" s="40">
        <v>0</v>
      </c>
    </row>
    <row r="1906" spans="1:11" x14ac:dyDescent="0.25">
      <c r="A1906" s="1">
        <v>2366407</v>
      </c>
      <c r="B1906" s="1" t="s">
        <v>1914</v>
      </c>
      <c r="D1906" s="2">
        <v>0</v>
      </c>
      <c r="E1906" s="2" t="s">
        <v>39</v>
      </c>
      <c r="G1906" s="1" t="s">
        <v>1970</v>
      </c>
      <c r="H1906" s="2">
        <v>1</v>
      </c>
      <c r="K1906" s="40">
        <v>0</v>
      </c>
    </row>
    <row r="1907" spans="1:11" x14ac:dyDescent="0.25">
      <c r="A1907" s="1">
        <v>2033314</v>
      </c>
      <c r="B1907" s="1" t="s">
        <v>1915</v>
      </c>
      <c r="D1907" s="2">
        <v>0</v>
      </c>
      <c r="E1907" s="2" t="s">
        <v>39</v>
      </c>
      <c r="G1907" s="1" t="s">
        <v>1970</v>
      </c>
      <c r="H1907" s="2">
        <v>1</v>
      </c>
      <c r="K1907" s="40">
        <v>0</v>
      </c>
    </row>
    <row r="1908" spans="1:11" x14ac:dyDescent="0.25">
      <c r="A1908" s="1">
        <v>2031255</v>
      </c>
      <c r="B1908" s="1" t="s">
        <v>1916</v>
      </c>
      <c r="D1908" s="2">
        <v>0</v>
      </c>
      <c r="E1908" s="2" t="s">
        <v>1903</v>
      </c>
      <c r="G1908" s="1" t="s">
        <v>786</v>
      </c>
      <c r="H1908" s="2">
        <v>1</v>
      </c>
      <c r="J1908" s="15">
        <v>32.78</v>
      </c>
      <c r="K1908" s="40">
        <v>0</v>
      </c>
    </row>
    <row r="1909" spans="1:11" x14ac:dyDescent="0.25">
      <c r="A1909" s="1">
        <v>1059070</v>
      </c>
      <c r="B1909" s="1" t="s">
        <v>1917</v>
      </c>
      <c r="D1909" s="2">
        <v>0</v>
      </c>
      <c r="E1909" s="2" t="s">
        <v>39</v>
      </c>
      <c r="G1909" s="1" t="s">
        <v>1970</v>
      </c>
      <c r="H1909" s="2">
        <v>1</v>
      </c>
      <c r="K1909" s="40">
        <v>0</v>
      </c>
    </row>
    <row r="1910" spans="1:11" x14ac:dyDescent="0.25">
      <c r="A1910" s="1">
        <v>1059071</v>
      </c>
      <c r="B1910" s="1" t="s">
        <v>1918</v>
      </c>
      <c r="D1910" s="2">
        <v>0</v>
      </c>
      <c r="E1910" s="2" t="s">
        <v>39</v>
      </c>
      <c r="G1910" s="1" t="s">
        <v>1970</v>
      </c>
      <c r="H1910" s="2">
        <v>1</v>
      </c>
      <c r="K1910" s="40">
        <v>0</v>
      </c>
    </row>
    <row r="1911" spans="1:11" x14ac:dyDescent="0.25">
      <c r="A1911" s="1">
        <v>1059064</v>
      </c>
      <c r="B1911" s="1" t="s">
        <v>1919</v>
      </c>
      <c r="D1911" s="2">
        <v>0</v>
      </c>
      <c r="E1911" s="2" t="s">
        <v>39</v>
      </c>
      <c r="G1911" s="1" t="s">
        <v>1970</v>
      </c>
      <c r="H1911" s="2">
        <v>1</v>
      </c>
      <c r="K1911" s="40">
        <v>0</v>
      </c>
    </row>
    <row r="1912" spans="1:11" x14ac:dyDescent="0.25">
      <c r="A1912" s="1">
        <v>1059029</v>
      </c>
      <c r="B1912" s="1" t="s">
        <v>1920</v>
      </c>
      <c r="D1912" s="2">
        <v>0</v>
      </c>
      <c r="E1912" s="2" t="s">
        <v>39</v>
      </c>
      <c r="G1912" s="1" t="s">
        <v>1970</v>
      </c>
      <c r="H1912" s="2">
        <v>1</v>
      </c>
      <c r="K1912" s="40">
        <v>0</v>
      </c>
    </row>
    <row r="1913" spans="1:11" x14ac:dyDescent="0.25">
      <c r="A1913" s="1">
        <v>1059011</v>
      </c>
      <c r="B1913" s="1" t="s">
        <v>1921</v>
      </c>
      <c r="D1913" s="2">
        <v>0</v>
      </c>
      <c r="E1913" s="2" t="s">
        <v>39</v>
      </c>
      <c r="G1913" s="1" t="s">
        <v>1970</v>
      </c>
      <c r="H1913" s="2">
        <v>1</v>
      </c>
      <c r="I1913" s="2">
        <v>0</v>
      </c>
      <c r="K1913" s="40">
        <v>0</v>
      </c>
    </row>
    <row r="1914" spans="1:11" x14ac:dyDescent="0.25">
      <c r="A1914" s="1">
        <v>1059012</v>
      </c>
      <c r="B1914" s="1" t="s">
        <v>1922</v>
      </c>
      <c r="D1914" s="2">
        <v>0</v>
      </c>
      <c r="E1914" s="2" t="s">
        <v>39</v>
      </c>
      <c r="G1914" s="1" t="s">
        <v>1970</v>
      </c>
      <c r="H1914" s="2">
        <v>1</v>
      </c>
      <c r="K1914" s="40">
        <v>0</v>
      </c>
    </row>
    <row r="1915" spans="1:11" x14ac:dyDescent="0.25">
      <c r="A1915" s="1">
        <v>1059013</v>
      </c>
      <c r="B1915" s="1" t="s">
        <v>1923</v>
      </c>
      <c r="D1915" s="2">
        <v>0</v>
      </c>
      <c r="E1915" s="2" t="s">
        <v>39</v>
      </c>
      <c r="G1915" s="1" t="s">
        <v>1970</v>
      </c>
      <c r="H1915" s="2">
        <v>1</v>
      </c>
      <c r="I1915" s="2">
        <v>14</v>
      </c>
      <c r="K1915" s="40">
        <v>0</v>
      </c>
    </row>
    <row r="1916" spans="1:11" x14ac:dyDescent="0.25">
      <c r="A1916" s="1">
        <v>1059030</v>
      </c>
      <c r="B1916" s="1" t="s">
        <v>1924</v>
      </c>
      <c r="D1916" s="2">
        <v>0</v>
      </c>
      <c r="E1916" s="2" t="s">
        <v>39</v>
      </c>
      <c r="G1916" s="1" t="s">
        <v>1970</v>
      </c>
      <c r="H1916" s="2">
        <v>1</v>
      </c>
      <c r="K1916" s="40">
        <v>0</v>
      </c>
    </row>
    <row r="1917" spans="1:11" x14ac:dyDescent="0.25">
      <c r="A1917" s="1">
        <v>1059048</v>
      </c>
      <c r="B1917" s="1" t="s">
        <v>1925</v>
      </c>
      <c r="D1917" s="2">
        <v>0</v>
      </c>
      <c r="E1917" s="2" t="s">
        <v>39</v>
      </c>
      <c r="G1917" s="1" t="s">
        <v>1970</v>
      </c>
      <c r="H1917" s="2">
        <v>1</v>
      </c>
      <c r="K1917" s="40">
        <v>0</v>
      </c>
    </row>
    <row r="1918" spans="1:11" x14ac:dyDescent="0.25">
      <c r="A1918" s="1">
        <v>1059031</v>
      </c>
      <c r="B1918" s="1" t="s">
        <v>1926</v>
      </c>
      <c r="D1918" s="2">
        <v>0</v>
      </c>
      <c r="E1918" s="2" t="s">
        <v>39</v>
      </c>
      <c r="G1918" s="1" t="s">
        <v>1970</v>
      </c>
      <c r="H1918" s="2">
        <v>1</v>
      </c>
      <c r="K1918" s="40">
        <v>0</v>
      </c>
    </row>
    <row r="1919" spans="1:11" x14ac:dyDescent="0.25">
      <c r="A1919" s="1">
        <v>1059086</v>
      </c>
      <c r="B1919" s="1" t="s">
        <v>1927</v>
      </c>
      <c r="D1919" s="2">
        <v>0</v>
      </c>
      <c r="E1919" s="2" t="s">
        <v>39</v>
      </c>
      <c r="G1919" s="1" t="s">
        <v>1970</v>
      </c>
      <c r="H1919" s="2">
        <v>1</v>
      </c>
      <c r="K1919" s="40">
        <v>0</v>
      </c>
    </row>
    <row r="1920" spans="1:11" x14ac:dyDescent="0.25">
      <c r="A1920" s="1">
        <v>1059032</v>
      </c>
      <c r="B1920" s="1" t="s">
        <v>1928</v>
      </c>
      <c r="D1920" s="2">
        <v>0</v>
      </c>
      <c r="E1920" s="2" t="s">
        <v>39</v>
      </c>
      <c r="G1920" s="1" t="s">
        <v>1970</v>
      </c>
      <c r="H1920" s="2">
        <v>1</v>
      </c>
      <c r="K1920" s="40">
        <v>0</v>
      </c>
    </row>
    <row r="1921" spans="1:11" x14ac:dyDescent="0.25">
      <c r="A1921" s="1">
        <v>1420866</v>
      </c>
      <c r="B1921" s="1" t="s">
        <v>1929</v>
      </c>
      <c r="D1921" s="2">
        <v>0</v>
      </c>
      <c r="E1921" s="2" t="s">
        <v>56</v>
      </c>
      <c r="G1921" s="1" t="s">
        <v>786</v>
      </c>
      <c r="H1921" s="2">
        <v>1</v>
      </c>
      <c r="J1921" s="15">
        <v>152.38999999999999</v>
      </c>
      <c r="K1921" s="40">
        <v>0</v>
      </c>
    </row>
    <row r="1922" spans="1:11" x14ac:dyDescent="0.25">
      <c r="A1922" s="1">
        <v>1059087</v>
      </c>
      <c r="B1922" s="1" t="s">
        <v>1930</v>
      </c>
      <c r="D1922" s="2">
        <v>0</v>
      </c>
      <c r="E1922" s="2" t="s">
        <v>39</v>
      </c>
      <c r="G1922" s="1" t="s">
        <v>1970</v>
      </c>
      <c r="H1922" s="2">
        <v>1</v>
      </c>
      <c r="K1922" s="40">
        <v>0</v>
      </c>
    </row>
    <row r="1923" spans="1:11" x14ac:dyDescent="0.25">
      <c r="A1923" s="1">
        <v>1059015</v>
      </c>
      <c r="B1923" s="1" t="s">
        <v>1931</v>
      </c>
      <c r="D1923" s="2">
        <v>0</v>
      </c>
      <c r="E1923" s="2" t="s">
        <v>39</v>
      </c>
      <c r="G1923" s="1" t="s">
        <v>1970</v>
      </c>
      <c r="H1923" s="2">
        <v>1</v>
      </c>
      <c r="K1923" s="40">
        <v>0</v>
      </c>
    </row>
    <row r="1924" spans="1:11" x14ac:dyDescent="0.25">
      <c r="A1924" s="1">
        <v>1059066</v>
      </c>
      <c r="B1924" s="1" t="s">
        <v>1932</v>
      </c>
      <c r="D1924" s="2">
        <v>0</v>
      </c>
      <c r="E1924" s="2" t="s">
        <v>39</v>
      </c>
      <c r="G1924" s="1" t="s">
        <v>1970</v>
      </c>
      <c r="H1924" s="2">
        <v>1</v>
      </c>
      <c r="K1924" s="40">
        <v>0</v>
      </c>
    </row>
    <row r="1925" spans="1:11" x14ac:dyDescent="0.25">
      <c r="A1925" s="1">
        <v>1006922</v>
      </c>
      <c r="B1925" s="1" t="s">
        <v>1933</v>
      </c>
      <c r="D1925" s="2">
        <v>0</v>
      </c>
      <c r="E1925" s="2" t="s">
        <v>39</v>
      </c>
      <c r="G1925" s="1" t="s">
        <v>1970</v>
      </c>
      <c r="H1925" s="2">
        <v>1</v>
      </c>
      <c r="I1925" s="2">
        <v>0</v>
      </c>
      <c r="K1925" s="40">
        <v>0</v>
      </c>
    </row>
    <row r="1926" spans="1:11" x14ac:dyDescent="0.25">
      <c r="A1926" s="1">
        <v>1059049</v>
      </c>
      <c r="B1926" s="1" t="s">
        <v>1934</v>
      </c>
      <c r="D1926" s="2">
        <v>0</v>
      </c>
      <c r="E1926" s="2" t="s">
        <v>39</v>
      </c>
      <c r="G1926" s="1" t="s">
        <v>1970</v>
      </c>
      <c r="H1926" s="2">
        <v>1</v>
      </c>
      <c r="K1926" s="40">
        <v>0</v>
      </c>
    </row>
    <row r="1927" spans="1:11" x14ac:dyDescent="0.25">
      <c r="A1927" s="1">
        <v>1059053</v>
      </c>
      <c r="B1927" s="1" t="s">
        <v>1935</v>
      </c>
      <c r="D1927" s="2">
        <v>0</v>
      </c>
      <c r="E1927" s="2" t="s">
        <v>39</v>
      </c>
      <c r="G1927" s="1" t="s">
        <v>1970</v>
      </c>
      <c r="H1927" s="2">
        <v>1</v>
      </c>
      <c r="K1927" s="40">
        <v>0</v>
      </c>
    </row>
    <row r="1928" spans="1:11" x14ac:dyDescent="0.25">
      <c r="A1928" s="1">
        <v>1059054</v>
      </c>
      <c r="B1928" s="1" t="s">
        <v>1936</v>
      </c>
      <c r="D1928" s="2">
        <v>0</v>
      </c>
      <c r="E1928" s="2" t="s">
        <v>39</v>
      </c>
      <c r="G1928" s="1" t="s">
        <v>1970</v>
      </c>
      <c r="H1928" s="2">
        <v>1</v>
      </c>
      <c r="K1928" s="40">
        <v>0</v>
      </c>
    </row>
    <row r="1929" spans="1:11" x14ac:dyDescent="0.25">
      <c r="A1929" s="1">
        <v>1059062</v>
      </c>
      <c r="B1929" s="1" t="s">
        <v>1937</v>
      </c>
      <c r="D1929" s="2">
        <v>0</v>
      </c>
      <c r="E1929" s="2" t="s">
        <v>39</v>
      </c>
      <c r="G1929" s="1" t="s">
        <v>1970</v>
      </c>
      <c r="H1929" s="2">
        <v>1</v>
      </c>
      <c r="K1929" s="40">
        <v>0</v>
      </c>
    </row>
    <row r="1930" spans="1:11" x14ac:dyDescent="0.25">
      <c r="A1930" s="1">
        <v>1059069</v>
      </c>
      <c r="B1930" s="1" t="s">
        <v>1938</v>
      </c>
      <c r="D1930" s="2">
        <v>0</v>
      </c>
      <c r="E1930" s="2" t="s">
        <v>39</v>
      </c>
      <c r="G1930" s="1" t="s">
        <v>1970</v>
      </c>
      <c r="H1930" s="2">
        <v>1</v>
      </c>
      <c r="I1930" s="2">
        <v>14</v>
      </c>
      <c r="K1930" s="40">
        <v>0</v>
      </c>
    </row>
    <row r="1931" spans="1:11" x14ac:dyDescent="0.25">
      <c r="A1931" s="1">
        <v>1059076</v>
      </c>
      <c r="B1931" s="1" t="s">
        <v>1939</v>
      </c>
      <c r="D1931" s="2">
        <v>0</v>
      </c>
      <c r="E1931" s="2" t="s">
        <v>39</v>
      </c>
      <c r="G1931" s="1" t="s">
        <v>1970</v>
      </c>
      <c r="H1931" s="2">
        <v>1</v>
      </c>
      <c r="I1931" s="2">
        <v>14</v>
      </c>
      <c r="K1931" s="40">
        <v>0</v>
      </c>
    </row>
    <row r="1932" spans="1:11" x14ac:dyDescent="0.25">
      <c r="A1932" s="1">
        <v>1059077</v>
      </c>
      <c r="B1932" s="1" t="s">
        <v>1940</v>
      </c>
      <c r="D1932" s="2">
        <v>0</v>
      </c>
      <c r="E1932" s="2" t="s">
        <v>39</v>
      </c>
      <c r="G1932" s="1" t="s">
        <v>1970</v>
      </c>
      <c r="H1932" s="2">
        <v>1</v>
      </c>
      <c r="I1932" s="2">
        <v>14</v>
      </c>
      <c r="K1932" s="40">
        <v>0</v>
      </c>
    </row>
    <row r="1933" spans="1:11" x14ac:dyDescent="0.25">
      <c r="A1933" s="1">
        <v>1059063</v>
      </c>
      <c r="B1933" s="1" t="s">
        <v>1941</v>
      </c>
      <c r="D1933" s="2">
        <v>0</v>
      </c>
      <c r="E1933" s="2" t="s">
        <v>39</v>
      </c>
      <c r="G1933" s="1" t="s">
        <v>1970</v>
      </c>
      <c r="H1933" s="2">
        <v>1</v>
      </c>
      <c r="K1933" s="40">
        <v>0</v>
      </c>
    </row>
    <row r="1934" spans="1:11" x14ac:dyDescent="0.25">
      <c r="A1934" s="1">
        <v>1059067</v>
      </c>
      <c r="B1934" s="1" t="s">
        <v>1942</v>
      </c>
      <c r="D1934" s="2">
        <v>0</v>
      </c>
      <c r="E1934" s="2" t="s">
        <v>39</v>
      </c>
      <c r="G1934" s="1" t="s">
        <v>1970</v>
      </c>
      <c r="H1934" s="2">
        <v>1</v>
      </c>
      <c r="I1934" s="2">
        <v>0</v>
      </c>
      <c r="K1934" s="40">
        <v>0</v>
      </c>
    </row>
    <row r="1935" spans="1:11" x14ac:dyDescent="0.25">
      <c r="A1935" s="1">
        <v>1059074</v>
      </c>
      <c r="B1935" s="1" t="s">
        <v>1943</v>
      </c>
      <c r="D1935" s="2">
        <v>0</v>
      </c>
      <c r="E1935" s="2" t="s">
        <v>39</v>
      </c>
      <c r="G1935" s="1" t="s">
        <v>1970</v>
      </c>
      <c r="H1935" s="2">
        <v>1</v>
      </c>
      <c r="I1935" s="2">
        <v>14</v>
      </c>
      <c r="K1935" s="40">
        <v>0</v>
      </c>
    </row>
    <row r="1936" spans="1:11" x14ac:dyDescent="0.25">
      <c r="A1936" s="1">
        <v>1059078</v>
      </c>
      <c r="B1936" s="1" t="s">
        <v>1944</v>
      </c>
      <c r="D1936" s="2">
        <v>0</v>
      </c>
      <c r="E1936" s="2" t="s">
        <v>39</v>
      </c>
      <c r="G1936" s="1" t="s">
        <v>1970</v>
      </c>
      <c r="H1936" s="2">
        <v>1</v>
      </c>
      <c r="I1936" s="2">
        <v>28</v>
      </c>
      <c r="K1936" s="40">
        <v>0</v>
      </c>
    </row>
    <row r="1937" spans="1:11" x14ac:dyDescent="0.25">
      <c r="A1937" s="1">
        <v>1059072</v>
      </c>
      <c r="B1937" s="1" t="s">
        <v>1945</v>
      </c>
      <c r="D1937" s="2">
        <v>0</v>
      </c>
      <c r="E1937" s="2" t="s">
        <v>39</v>
      </c>
      <c r="G1937" s="1" t="s">
        <v>1970</v>
      </c>
      <c r="H1937" s="2">
        <v>1</v>
      </c>
      <c r="I1937" s="2">
        <v>0</v>
      </c>
      <c r="K1937" s="40">
        <v>0</v>
      </c>
    </row>
    <row r="1938" spans="1:11" x14ac:dyDescent="0.25">
      <c r="A1938" s="1">
        <v>1059079</v>
      </c>
      <c r="B1938" s="1" t="s">
        <v>1946</v>
      </c>
      <c r="D1938" s="2">
        <v>0</v>
      </c>
      <c r="E1938" s="2" t="s">
        <v>39</v>
      </c>
      <c r="G1938" s="1" t="s">
        <v>1970</v>
      </c>
      <c r="H1938" s="2">
        <v>1</v>
      </c>
      <c r="I1938" s="2">
        <v>28</v>
      </c>
      <c r="K1938" s="40">
        <v>0</v>
      </c>
    </row>
    <row r="1939" spans="1:11" x14ac:dyDescent="0.25">
      <c r="A1939" s="1">
        <v>1059068</v>
      </c>
      <c r="B1939" s="1" t="s">
        <v>1947</v>
      </c>
      <c r="D1939" s="2">
        <v>0</v>
      </c>
      <c r="E1939" s="2" t="s">
        <v>39</v>
      </c>
      <c r="G1939" s="1" t="s">
        <v>1970</v>
      </c>
      <c r="H1939" s="2">
        <v>1</v>
      </c>
      <c r="I1939" s="2">
        <v>0</v>
      </c>
      <c r="K1939" s="40">
        <v>0</v>
      </c>
    </row>
    <row r="1940" spans="1:11" x14ac:dyDescent="0.25">
      <c r="A1940" s="1">
        <v>1059075</v>
      </c>
      <c r="B1940" s="1" t="s">
        <v>1948</v>
      </c>
      <c r="D1940" s="2">
        <v>0</v>
      </c>
      <c r="E1940" s="2" t="s">
        <v>39</v>
      </c>
      <c r="G1940" s="1" t="s">
        <v>1970</v>
      </c>
      <c r="H1940" s="2">
        <v>1</v>
      </c>
      <c r="I1940" s="2">
        <v>14</v>
      </c>
      <c r="K1940" s="40">
        <v>0</v>
      </c>
    </row>
    <row r="1941" spans="1:11" x14ac:dyDescent="0.25">
      <c r="A1941" s="1">
        <v>1059073</v>
      </c>
      <c r="B1941" s="1" t="s">
        <v>1949</v>
      </c>
      <c r="D1941" s="2">
        <v>0</v>
      </c>
      <c r="E1941" s="2" t="s">
        <v>39</v>
      </c>
      <c r="G1941" s="1" t="s">
        <v>1970</v>
      </c>
      <c r="H1941" s="2">
        <v>1</v>
      </c>
      <c r="I1941" s="2">
        <v>0</v>
      </c>
      <c r="K1941" s="40">
        <v>0</v>
      </c>
    </row>
    <row r="1942" spans="1:11" x14ac:dyDescent="0.25">
      <c r="A1942" s="1">
        <v>1059080</v>
      </c>
      <c r="B1942" s="1" t="s">
        <v>1950</v>
      </c>
      <c r="D1942" s="2">
        <v>0</v>
      </c>
      <c r="E1942" s="2" t="s">
        <v>39</v>
      </c>
      <c r="G1942" s="1" t="s">
        <v>1970</v>
      </c>
      <c r="H1942" s="2">
        <v>1</v>
      </c>
      <c r="I1942" s="2">
        <v>28</v>
      </c>
      <c r="K1942" s="40">
        <v>0</v>
      </c>
    </row>
    <row r="1943" spans="1:11" x14ac:dyDescent="0.25">
      <c r="A1943" s="1">
        <v>1059047</v>
      </c>
      <c r="B1943" s="1" t="s">
        <v>1951</v>
      </c>
      <c r="D1943" s="2">
        <v>0</v>
      </c>
      <c r="E1943" s="2" t="s">
        <v>39</v>
      </c>
      <c r="G1943" s="1" t="s">
        <v>1970</v>
      </c>
      <c r="H1943" s="2">
        <v>1</v>
      </c>
      <c r="I1943" s="2">
        <v>14</v>
      </c>
      <c r="K1943" s="40">
        <v>0</v>
      </c>
    </row>
    <row r="1944" spans="1:11" x14ac:dyDescent="0.25">
      <c r="A1944" s="1">
        <v>1092395</v>
      </c>
      <c r="B1944" s="1" t="s">
        <v>1952</v>
      </c>
      <c r="D1944" s="2">
        <v>0</v>
      </c>
      <c r="E1944" s="2" t="s">
        <v>426</v>
      </c>
      <c r="G1944" s="1" t="s">
        <v>1970</v>
      </c>
      <c r="H1944" s="2">
        <v>1</v>
      </c>
      <c r="K1944" s="40">
        <v>0</v>
      </c>
    </row>
    <row r="1945" spans="1:11" x14ac:dyDescent="0.25">
      <c r="A1945" s="1">
        <v>1092397</v>
      </c>
      <c r="B1945" s="1" t="s">
        <v>1953</v>
      </c>
      <c r="D1945" s="2">
        <v>0</v>
      </c>
      <c r="E1945" s="2" t="s">
        <v>424</v>
      </c>
      <c r="G1945" s="1" t="s">
        <v>786</v>
      </c>
      <c r="H1945" s="2">
        <v>1</v>
      </c>
      <c r="J1945" s="15">
        <v>436.38</v>
      </c>
      <c r="K1945" s="40">
        <v>0</v>
      </c>
    </row>
    <row r="1946" spans="1:11" x14ac:dyDescent="0.25">
      <c r="A1946" s="1">
        <v>1092393</v>
      </c>
      <c r="B1946" s="1" t="s">
        <v>1954</v>
      </c>
      <c r="D1946" s="2">
        <v>0</v>
      </c>
      <c r="E1946" s="2" t="s">
        <v>424</v>
      </c>
      <c r="G1946" s="1" t="s">
        <v>1970</v>
      </c>
      <c r="H1946" s="2">
        <v>1</v>
      </c>
      <c r="K1946" s="40">
        <v>0</v>
      </c>
    </row>
    <row r="1947" spans="1:11" x14ac:dyDescent="0.25">
      <c r="A1947" s="1">
        <v>1092394</v>
      </c>
      <c r="B1947" s="1" t="s">
        <v>1955</v>
      </c>
      <c r="D1947" s="2">
        <v>0</v>
      </c>
      <c r="E1947" s="2" t="s">
        <v>426</v>
      </c>
      <c r="G1947" s="1" t="s">
        <v>786</v>
      </c>
      <c r="H1947" s="2">
        <v>1</v>
      </c>
      <c r="J1947" s="15">
        <v>522.69000000000005</v>
      </c>
      <c r="K1947" s="40">
        <v>0</v>
      </c>
    </row>
    <row r="1948" spans="1:11" x14ac:dyDescent="0.25">
      <c r="A1948" s="1">
        <v>1059088</v>
      </c>
      <c r="B1948" s="1" t="s">
        <v>1956</v>
      </c>
      <c r="D1948" s="2">
        <v>0</v>
      </c>
      <c r="E1948" s="2" t="s">
        <v>39</v>
      </c>
      <c r="G1948" s="1" t="s">
        <v>1970</v>
      </c>
      <c r="H1948" s="2">
        <v>1</v>
      </c>
      <c r="K1948" s="40">
        <v>0</v>
      </c>
    </row>
    <row r="1949" spans="1:11" x14ac:dyDescent="0.25">
      <c r="A1949" s="1">
        <v>1059081</v>
      </c>
      <c r="B1949" s="1" t="s">
        <v>1957</v>
      </c>
      <c r="D1949" s="2">
        <v>0</v>
      </c>
      <c r="E1949" s="2" t="s">
        <v>39</v>
      </c>
      <c r="G1949" s="1" t="s">
        <v>1970</v>
      </c>
      <c r="H1949" s="2">
        <v>1</v>
      </c>
      <c r="I1949" s="2">
        <v>28</v>
      </c>
      <c r="K1949" s="40">
        <v>0</v>
      </c>
    </row>
    <row r="1950" spans="1:11" x14ac:dyDescent="0.25">
      <c r="A1950" s="1">
        <v>1094131</v>
      </c>
      <c r="B1950" s="1" t="s">
        <v>1958</v>
      </c>
      <c r="D1950" s="2">
        <v>0</v>
      </c>
      <c r="E1950" s="2" t="s">
        <v>39</v>
      </c>
      <c r="G1950" s="1" t="s">
        <v>1970</v>
      </c>
      <c r="H1950" s="2">
        <v>1</v>
      </c>
      <c r="K1950" s="40">
        <v>0</v>
      </c>
    </row>
    <row r="1951" spans="1:11" x14ac:dyDescent="0.25">
      <c r="A1951" s="1">
        <v>2063682</v>
      </c>
      <c r="B1951" s="1" t="s">
        <v>1959</v>
      </c>
      <c r="D1951" s="2">
        <v>0</v>
      </c>
      <c r="E1951" s="2" t="s">
        <v>39</v>
      </c>
      <c r="G1951" s="1" t="s">
        <v>1970</v>
      </c>
      <c r="H1951" s="2">
        <v>1</v>
      </c>
      <c r="K1951" s="40">
        <v>0</v>
      </c>
    </row>
    <row r="1952" spans="1:11" x14ac:dyDescent="0.25">
      <c r="A1952" s="1">
        <v>2069501</v>
      </c>
      <c r="B1952" s="1" t="s">
        <v>1960</v>
      </c>
      <c r="D1952" s="2">
        <v>0</v>
      </c>
      <c r="E1952" s="2" t="s">
        <v>39</v>
      </c>
      <c r="G1952" s="1" t="s">
        <v>1970</v>
      </c>
      <c r="H1952" s="2">
        <v>1</v>
      </c>
      <c r="K1952" s="40">
        <v>0</v>
      </c>
    </row>
    <row r="1953" spans="1:11" x14ac:dyDescent="0.25">
      <c r="A1953" s="1">
        <v>2069502</v>
      </c>
      <c r="B1953" s="1" t="s">
        <v>1961</v>
      </c>
      <c r="D1953" s="2">
        <v>0</v>
      </c>
      <c r="E1953" s="2" t="s">
        <v>39</v>
      </c>
      <c r="G1953" s="1" t="s">
        <v>1970</v>
      </c>
      <c r="H1953" s="2">
        <v>1</v>
      </c>
      <c r="K1953" s="40">
        <v>0</v>
      </c>
    </row>
    <row r="1954" spans="1:11" x14ac:dyDescent="0.25">
      <c r="A1954" s="1">
        <v>2069500</v>
      </c>
      <c r="B1954" s="1" t="s">
        <v>1962</v>
      </c>
      <c r="D1954" s="2">
        <v>0</v>
      </c>
      <c r="E1954" s="2" t="s">
        <v>39</v>
      </c>
      <c r="G1954" s="1" t="s">
        <v>1970</v>
      </c>
      <c r="H1954" s="2">
        <v>1</v>
      </c>
      <c r="K1954" s="40">
        <v>0</v>
      </c>
    </row>
    <row r="1955" spans="1:11" x14ac:dyDescent="0.25">
      <c r="A1955" s="1">
        <v>2030025</v>
      </c>
      <c r="B1955" s="1" t="s">
        <v>1963</v>
      </c>
      <c r="D1955" s="2">
        <v>0</v>
      </c>
      <c r="E1955" s="2" t="s">
        <v>56</v>
      </c>
      <c r="G1955" s="1" t="s">
        <v>1970</v>
      </c>
      <c r="H1955" s="2">
        <v>1</v>
      </c>
      <c r="K1955" s="40">
        <v>0</v>
      </c>
    </row>
    <row r="1956" spans="1:11" x14ac:dyDescent="0.25">
      <c r="A1956" s="1">
        <v>1710170</v>
      </c>
      <c r="B1956" s="1" t="s">
        <v>1964</v>
      </c>
      <c r="D1956" s="2">
        <v>0</v>
      </c>
      <c r="E1956" s="2" t="s">
        <v>1903</v>
      </c>
      <c r="G1956" s="1" t="s">
        <v>1970</v>
      </c>
      <c r="H1956" s="2">
        <v>1</v>
      </c>
      <c r="K1956" s="40">
        <v>0</v>
      </c>
    </row>
    <row r="1957" spans="1:11" x14ac:dyDescent="0.25">
      <c r="A1957" s="1">
        <v>2033327</v>
      </c>
      <c r="B1957" s="1" t="s">
        <v>1965</v>
      </c>
      <c r="D1957" s="2">
        <v>0</v>
      </c>
      <c r="E1957" s="2" t="s">
        <v>39</v>
      </c>
      <c r="G1957" s="1" t="s">
        <v>1970</v>
      </c>
      <c r="H1957" s="2">
        <v>1</v>
      </c>
      <c r="K1957" s="40">
        <v>0</v>
      </c>
    </row>
    <row r="1958" spans="1:11" x14ac:dyDescent="0.25">
      <c r="A1958" s="1">
        <v>2031254</v>
      </c>
      <c r="B1958" s="1" t="s">
        <v>1966</v>
      </c>
      <c r="D1958" s="2">
        <v>0</v>
      </c>
      <c r="E1958" s="2" t="s">
        <v>0</v>
      </c>
      <c r="G1958" s="1" t="s">
        <v>786</v>
      </c>
      <c r="H1958" s="2">
        <v>1</v>
      </c>
      <c r="J1958" s="15">
        <v>32.78</v>
      </c>
      <c r="K1958" s="40">
        <v>0</v>
      </c>
    </row>
    <row r="1959" spans="1:11" x14ac:dyDescent="0.25">
      <c r="A1959" s="1">
        <v>2031253</v>
      </c>
      <c r="B1959" s="1" t="s">
        <v>1967</v>
      </c>
      <c r="D1959" s="2">
        <v>0</v>
      </c>
      <c r="E1959" s="2" t="s">
        <v>0</v>
      </c>
      <c r="G1959" s="1" t="s">
        <v>786</v>
      </c>
      <c r="H1959" s="2">
        <v>1</v>
      </c>
      <c r="J1959" s="15">
        <v>32.78</v>
      </c>
      <c r="K1959" s="40">
        <v>0</v>
      </c>
    </row>
    <row r="1960" spans="1:11" x14ac:dyDescent="0.25">
      <c r="A1960" s="1">
        <v>1003520</v>
      </c>
      <c r="B1960" s="1" t="s">
        <v>2055</v>
      </c>
      <c r="D1960" s="2">
        <v>0</v>
      </c>
      <c r="E1960" s="2" t="s">
        <v>0</v>
      </c>
      <c r="G1960" s="1" t="s">
        <v>1969</v>
      </c>
      <c r="H1960" s="2">
        <v>1</v>
      </c>
      <c r="J1960" s="15">
        <v>109.83</v>
      </c>
      <c r="K1960" s="40">
        <v>0</v>
      </c>
    </row>
    <row r="1961" spans="1:11" x14ac:dyDescent="0.25">
      <c r="A1961" s="1">
        <v>1213820</v>
      </c>
      <c r="B1961" s="1" t="s">
        <v>2054</v>
      </c>
      <c r="D1961" s="2">
        <v>0</v>
      </c>
      <c r="E1961" s="2" t="s">
        <v>0</v>
      </c>
      <c r="G1961" s="1" t="s">
        <v>1969</v>
      </c>
      <c r="H1961" s="2">
        <v>1</v>
      </c>
      <c r="J1961" s="15">
        <v>528.19000000000005</v>
      </c>
      <c r="K1961" s="40">
        <v>0</v>
      </c>
    </row>
    <row r="1962" spans="1:11" x14ac:dyDescent="0.25">
      <c r="A1962" s="1">
        <v>1356662</v>
      </c>
      <c r="B1962" s="1" t="s">
        <v>1967</v>
      </c>
      <c r="D1962" s="2">
        <v>0</v>
      </c>
      <c r="E1962" s="2" t="s">
        <v>0</v>
      </c>
      <c r="G1962" s="1" t="s">
        <v>786</v>
      </c>
      <c r="H1962" s="2">
        <v>1</v>
      </c>
      <c r="K1962" s="40">
        <v>0</v>
      </c>
    </row>
    <row r="1963" spans="1:11" x14ac:dyDescent="0.25">
      <c r="A1963" s="1">
        <v>2214429</v>
      </c>
      <c r="B1963" s="1" t="s">
        <v>2053</v>
      </c>
      <c r="D1963" s="2">
        <v>0</v>
      </c>
      <c r="E1963" s="2" t="s">
        <v>0</v>
      </c>
      <c r="G1963" s="1" t="s">
        <v>1968</v>
      </c>
      <c r="H1963" s="2">
        <v>1</v>
      </c>
      <c r="J1963" s="15">
        <v>27.71</v>
      </c>
      <c r="K1963" s="40">
        <v>0</v>
      </c>
    </row>
    <row r="1964" spans="1:11" x14ac:dyDescent="0.25">
      <c r="A1964" s="1">
        <v>2370787</v>
      </c>
      <c r="B1964" s="1" t="s">
        <v>2052</v>
      </c>
      <c r="D1964" s="2">
        <v>0</v>
      </c>
      <c r="E1964" s="2" t="s">
        <v>0</v>
      </c>
      <c r="G1964" s="1" t="s">
        <v>1968</v>
      </c>
      <c r="H1964" s="2">
        <v>1</v>
      </c>
      <c r="J1964" s="15">
        <v>17.920000000000002</v>
      </c>
      <c r="K1964" s="40">
        <v>0</v>
      </c>
    </row>
    <row r="1965" spans="1:11" x14ac:dyDescent="0.25">
      <c r="A1965" s="1">
        <v>2962404</v>
      </c>
      <c r="B1965" s="1" t="s">
        <v>2051</v>
      </c>
      <c r="D1965" s="2">
        <v>0</v>
      </c>
      <c r="E1965" s="2" t="s">
        <v>0</v>
      </c>
      <c r="G1965" s="1" t="s">
        <v>1969</v>
      </c>
      <c r="H1965" s="2">
        <v>1</v>
      </c>
      <c r="J1965" s="15">
        <v>2160.2800000000002</v>
      </c>
      <c r="K1965" s="40">
        <v>0</v>
      </c>
    </row>
    <row r="1966" spans="1:11" x14ac:dyDescent="0.25">
      <c r="A1966" s="1">
        <v>100107</v>
      </c>
      <c r="B1966" s="1" t="s">
        <v>1971</v>
      </c>
      <c r="D1966" s="2">
        <v>0</v>
      </c>
      <c r="E1966" s="2" t="s">
        <v>0</v>
      </c>
      <c r="G1966" s="1" t="s">
        <v>786</v>
      </c>
      <c r="H1966" s="2">
        <v>1</v>
      </c>
      <c r="J1966" s="15">
        <v>29.38</v>
      </c>
      <c r="K1966" s="40">
        <v>0</v>
      </c>
    </row>
    <row r="1967" spans="1:11" x14ac:dyDescent="0.25">
      <c r="A1967" s="1">
        <v>1011750</v>
      </c>
      <c r="B1967" s="1" t="s">
        <v>1972</v>
      </c>
      <c r="D1967" s="2">
        <v>0</v>
      </c>
      <c r="E1967" s="2" t="s">
        <v>302</v>
      </c>
      <c r="G1967" s="1" t="s">
        <v>786</v>
      </c>
      <c r="H1967" s="2">
        <v>1</v>
      </c>
      <c r="J1967" s="15">
        <v>27.28</v>
      </c>
      <c r="K1967" s="40">
        <v>0</v>
      </c>
    </row>
    <row r="1968" spans="1:11" x14ac:dyDescent="0.25">
      <c r="A1968" s="1">
        <v>1017944</v>
      </c>
      <c r="B1968" s="1" t="s">
        <v>1973</v>
      </c>
      <c r="D1968" s="2">
        <v>0</v>
      </c>
      <c r="E1968" s="2" t="s">
        <v>0</v>
      </c>
      <c r="G1968" s="1" t="s">
        <v>1968</v>
      </c>
      <c r="H1968" s="2">
        <v>12</v>
      </c>
      <c r="J1968" s="15">
        <v>23.33</v>
      </c>
      <c r="K1968" s="40">
        <v>0</v>
      </c>
    </row>
    <row r="1969" spans="1:11" x14ac:dyDescent="0.25">
      <c r="A1969" s="1">
        <v>2399713</v>
      </c>
      <c r="B1969" s="1" t="s">
        <v>1974</v>
      </c>
      <c r="D1969" s="2">
        <v>0</v>
      </c>
      <c r="E1969" s="2" t="s">
        <v>0</v>
      </c>
      <c r="G1969" s="1" t="s">
        <v>1968</v>
      </c>
      <c r="H1969" s="2">
        <v>1</v>
      </c>
      <c r="J1969" s="15">
        <v>229.64</v>
      </c>
      <c r="K1969" s="40">
        <v>0</v>
      </c>
    </row>
    <row r="1970" spans="1:11" x14ac:dyDescent="0.25">
      <c r="A1970" s="1">
        <v>2399714</v>
      </c>
      <c r="B1970" s="1" t="s">
        <v>1975</v>
      </c>
      <c r="D1970" s="2">
        <v>0</v>
      </c>
      <c r="E1970" s="2" t="s">
        <v>131</v>
      </c>
      <c r="G1970" s="1" t="s">
        <v>1968</v>
      </c>
      <c r="H1970" s="2">
        <v>1</v>
      </c>
      <c r="J1970" s="15">
        <v>160.06</v>
      </c>
      <c r="K1970" s="40">
        <v>0</v>
      </c>
    </row>
    <row r="1971" spans="1:11" x14ac:dyDescent="0.25">
      <c r="A1971" s="1">
        <v>2399715</v>
      </c>
      <c r="B1971" s="1" t="s">
        <v>1976</v>
      </c>
      <c r="D1971" s="2">
        <v>0</v>
      </c>
      <c r="E1971" s="2" t="s">
        <v>302</v>
      </c>
      <c r="G1971" s="1" t="s">
        <v>1968</v>
      </c>
      <c r="H1971" s="2">
        <v>1</v>
      </c>
      <c r="J1971" s="15">
        <v>1043.77</v>
      </c>
      <c r="K1971" s="40">
        <v>0</v>
      </c>
    </row>
    <row r="1972" spans="1:11" x14ac:dyDescent="0.25">
      <c r="A1972" s="1">
        <v>2399717</v>
      </c>
      <c r="B1972" s="1" t="s">
        <v>1977</v>
      </c>
      <c r="D1972" s="2">
        <v>0</v>
      </c>
      <c r="E1972" s="2" t="s">
        <v>302</v>
      </c>
      <c r="G1972" s="1" t="s">
        <v>1968</v>
      </c>
      <c r="H1972" s="2">
        <v>1</v>
      </c>
      <c r="J1972" s="15">
        <v>598.41999999999996</v>
      </c>
      <c r="K1972" s="40">
        <v>0</v>
      </c>
    </row>
    <row r="1973" spans="1:11" x14ac:dyDescent="0.25">
      <c r="A1973" s="1">
        <v>2399718</v>
      </c>
      <c r="B1973" s="1" t="s">
        <v>1978</v>
      </c>
      <c r="D1973" s="2">
        <v>0</v>
      </c>
      <c r="E1973" s="2" t="s">
        <v>302</v>
      </c>
      <c r="G1973" s="1" t="s">
        <v>1968</v>
      </c>
      <c r="H1973" s="2">
        <v>1</v>
      </c>
      <c r="J1973" s="15">
        <v>1015.93</v>
      </c>
      <c r="K1973" s="40">
        <v>0</v>
      </c>
    </row>
    <row r="1974" spans="1:11" x14ac:dyDescent="0.25">
      <c r="A1974" s="1">
        <v>2399719</v>
      </c>
      <c r="B1974" s="1" t="s">
        <v>1979</v>
      </c>
      <c r="D1974" s="2">
        <v>0</v>
      </c>
      <c r="E1974" s="2" t="s">
        <v>0</v>
      </c>
      <c r="G1974" s="1" t="s">
        <v>1968</v>
      </c>
      <c r="H1974" s="2">
        <v>1</v>
      </c>
      <c r="J1974" s="15">
        <v>509.91</v>
      </c>
      <c r="K1974" s="40">
        <v>0</v>
      </c>
    </row>
    <row r="1975" spans="1:11" x14ac:dyDescent="0.25">
      <c r="A1975" s="1">
        <v>2399720</v>
      </c>
      <c r="B1975" s="1" t="s">
        <v>1980</v>
      </c>
      <c r="D1975" s="2">
        <v>0</v>
      </c>
      <c r="E1975" s="2" t="s">
        <v>0</v>
      </c>
      <c r="G1975" s="1" t="s">
        <v>1968</v>
      </c>
      <c r="H1975" s="2">
        <v>1</v>
      </c>
      <c r="J1975" s="15">
        <v>809.85</v>
      </c>
      <c r="K1975" s="40">
        <v>0</v>
      </c>
    </row>
    <row r="1976" spans="1:11" x14ac:dyDescent="0.25">
      <c r="A1976" s="1">
        <v>2399721</v>
      </c>
      <c r="B1976" s="1" t="s">
        <v>1981</v>
      </c>
      <c r="D1976" s="2">
        <v>0</v>
      </c>
      <c r="E1976" s="2" t="s">
        <v>0</v>
      </c>
      <c r="G1976" s="1" t="s">
        <v>1968</v>
      </c>
      <c r="H1976" s="2">
        <v>1</v>
      </c>
      <c r="J1976" s="15">
        <v>1409.74</v>
      </c>
      <c r="K1976" s="40">
        <v>0</v>
      </c>
    </row>
    <row r="1977" spans="1:11" x14ac:dyDescent="0.25">
      <c r="A1977" s="1">
        <v>2399722</v>
      </c>
      <c r="B1977" s="1" t="s">
        <v>1982</v>
      </c>
      <c r="D1977" s="2">
        <v>0</v>
      </c>
      <c r="E1977" s="2" t="s">
        <v>0</v>
      </c>
      <c r="G1977" s="1" t="s">
        <v>1968</v>
      </c>
      <c r="H1977" s="2">
        <v>1</v>
      </c>
      <c r="J1977" s="15">
        <v>13.23</v>
      </c>
      <c r="K1977" s="40">
        <v>0</v>
      </c>
    </row>
    <row r="1978" spans="1:11" x14ac:dyDescent="0.25">
      <c r="A1978" s="1">
        <v>2399723</v>
      </c>
      <c r="B1978" s="1" t="s">
        <v>1983</v>
      </c>
      <c r="D1978" s="2">
        <v>0</v>
      </c>
      <c r="E1978" s="2" t="s">
        <v>0</v>
      </c>
      <c r="G1978" s="1" t="s">
        <v>1968</v>
      </c>
      <c r="H1978" s="2">
        <v>1</v>
      </c>
      <c r="J1978" s="15">
        <v>5.51</v>
      </c>
      <c r="K1978" s="40">
        <v>0</v>
      </c>
    </row>
    <row r="1979" spans="1:11" x14ac:dyDescent="0.25">
      <c r="A1979" s="1">
        <v>2399724</v>
      </c>
      <c r="B1979" s="1" t="s">
        <v>1984</v>
      </c>
      <c r="D1979" s="2">
        <v>0</v>
      </c>
      <c r="E1979" s="2" t="s">
        <v>0</v>
      </c>
      <c r="G1979" s="1" t="s">
        <v>1968</v>
      </c>
      <c r="H1979" s="2">
        <v>1</v>
      </c>
      <c r="J1979" s="15">
        <v>19.489999999999998</v>
      </c>
      <c r="K1979" s="40">
        <v>0</v>
      </c>
    </row>
    <row r="1980" spans="1:11" x14ac:dyDescent="0.25">
      <c r="A1980" s="1">
        <v>2399725</v>
      </c>
      <c r="B1980" s="1" t="s">
        <v>1985</v>
      </c>
      <c r="D1980" s="2">
        <v>0</v>
      </c>
      <c r="E1980" s="2" t="s">
        <v>0</v>
      </c>
      <c r="G1980" s="1" t="s">
        <v>1968</v>
      </c>
      <c r="H1980" s="2">
        <v>1</v>
      </c>
      <c r="J1980" s="15">
        <v>24.36</v>
      </c>
      <c r="K1980" s="40">
        <v>0</v>
      </c>
    </row>
    <row r="1981" spans="1:11" x14ac:dyDescent="0.25">
      <c r="A1981" s="1">
        <v>2399726</v>
      </c>
      <c r="B1981" s="1" t="s">
        <v>1986</v>
      </c>
      <c r="D1981" s="2">
        <v>0</v>
      </c>
      <c r="E1981" s="2" t="s">
        <v>0</v>
      </c>
      <c r="G1981" s="1" t="s">
        <v>1968</v>
      </c>
      <c r="H1981" s="2">
        <v>1</v>
      </c>
      <c r="J1981" s="15">
        <v>124.56</v>
      </c>
      <c r="K1981" s="40">
        <v>0</v>
      </c>
    </row>
    <row r="1982" spans="1:11" x14ac:dyDescent="0.25">
      <c r="A1982" s="1">
        <v>2399727</v>
      </c>
      <c r="B1982" s="1" t="s">
        <v>1987</v>
      </c>
      <c r="D1982" s="2">
        <v>0</v>
      </c>
      <c r="E1982" s="2" t="s">
        <v>0</v>
      </c>
      <c r="G1982" s="1" t="s">
        <v>1968</v>
      </c>
      <c r="H1982" s="2">
        <v>1</v>
      </c>
      <c r="J1982" s="15">
        <v>118.31</v>
      </c>
      <c r="K1982" s="40">
        <v>0</v>
      </c>
    </row>
    <row r="1983" spans="1:11" x14ac:dyDescent="0.25">
      <c r="A1983" s="1">
        <v>2399728</v>
      </c>
      <c r="B1983" s="1" t="s">
        <v>1988</v>
      </c>
      <c r="D1983" s="2">
        <v>0</v>
      </c>
      <c r="E1983" s="2" t="s">
        <v>131</v>
      </c>
      <c r="G1983" s="1" t="s">
        <v>1968</v>
      </c>
      <c r="H1983" s="2">
        <v>1</v>
      </c>
      <c r="J1983" s="15">
        <v>161.13999999999999</v>
      </c>
      <c r="K1983" s="40">
        <v>0</v>
      </c>
    </row>
    <row r="1984" spans="1:11" x14ac:dyDescent="0.25">
      <c r="A1984" s="1">
        <v>2399729</v>
      </c>
      <c r="B1984" s="1" t="s">
        <v>1989</v>
      </c>
      <c r="D1984" s="2">
        <v>0</v>
      </c>
      <c r="E1984" s="2" t="s">
        <v>0</v>
      </c>
      <c r="G1984" s="1" t="s">
        <v>1968</v>
      </c>
      <c r="H1984" s="2">
        <v>1</v>
      </c>
      <c r="J1984" s="15">
        <v>8.58</v>
      </c>
      <c r="K1984" s="40">
        <v>0</v>
      </c>
    </row>
    <row r="1985" spans="1:11" x14ac:dyDescent="0.25">
      <c r="A1985" s="1">
        <v>2399730</v>
      </c>
      <c r="B1985" s="1" t="s">
        <v>1990</v>
      </c>
      <c r="D1985" s="2">
        <v>0</v>
      </c>
      <c r="E1985" s="2" t="s">
        <v>0</v>
      </c>
      <c r="G1985" s="1" t="s">
        <v>1968</v>
      </c>
      <c r="H1985" s="2">
        <v>1</v>
      </c>
      <c r="J1985" s="15">
        <v>135.35</v>
      </c>
      <c r="K1985" s="40">
        <v>0</v>
      </c>
    </row>
    <row r="1986" spans="1:11" x14ac:dyDescent="0.25">
      <c r="A1986" s="1">
        <v>2399731</v>
      </c>
      <c r="B1986" s="1" t="s">
        <v>1991</v>
      </c>
      <c r="D1986" s="2">
        <v>0</v>
      </c>
      <c r="E1986" s="2" t="s">
        <v>0</v>
      </c>
      <c r="G1986" s="1" t="s">
        <v>1968</v>
      </c>
      <c r="H1986" s="2">
        <v>1</v>
      </c>
      <c r="J1986" s="15">
        <v>153.09</v>
      </c>
      <c r="K1986" s="40">
        <v>0</v>
      </c>
    </row>
    <row r="1987" spans="1:11" x14ac:dyDescent="0.25">
      <c r="A1987" s="1">
        <v>2399732</v>
      </c>
      <c r="B1987" s="1" t="s">
        <v>1992</v>
      </c>
      <c r="D1987" s="2">
        <v>0</v>
      </c>
      <c r="E1987" s="2" t="s">
        <v>0</v>
      </c>
      <c r="G1987" s="1" t="s">
        <v>1968</v>
      </c>
      <c r="H1987" s="2">
        <v>1</v>
      </c>
      <c r="J1987" s="15">
        <v>100.21</v>
      </c>
      <c r="K1987" s="40">
        <v>0</v>
      </c>
    </row>
    <row r="1988" spans="1:11" x14ac:dyDescent="0.25">
      <c r="A1988" s="1">
        <v>2399733</v>
      </c>
      <c r="B1988" s="1" t="s">
        <v>1993</v>
      </c>
      <c r="D1988" s="2">
        <v>0</v>
      </c>
      <c r="E1988" s="2" t="s">
        <v>0</v>
      </c>
      <c r="G1988" s="1" t="s">
        <v>1968</v>
      </c>
      <c r="H1988" s="2">
        <v>1</v>
      </c>
      <c r="J1988" s="15">
        <v>26.31</v>
      </c>
      <c r="K1988" s="40">
        <v>0</v>
      </c>
    </row>
    <row r="1989" spans="1:11" x14ac:dyDescent="0.25">
      <c r="A1989" s="1">
        <v>2399758</v>
      </c>
      <c r="B1989" s="1" t="s">
        <v>1994</v>
      </c>
      <c r="D1989" s="2">
        <v>0</v>
      </c>
      <c r="E1989" s="2" t="s">
        <v>0</v>
      </c>
      <c r="G1989" s="1" t="s">
        <v>1968</v>
      </c>
      <c r="H1989" s="2">
        <v>1</v>
      </c>
      <c r="J1989" s="15">
        <v>10365.34</v>
      </c>
      <c r="K1989" s="40">
        <v>0</v>
      </c>
    </row>
    <row r="1990" spans="1:11" x14ac:dyDescent="0.25">
      <c r="A1990" s="1">
        <v>2399759</v>
      </c>
      <c r="B1990" s="1" t="s">
        <v>1995</v>
      </c>
      <c r="D1990" s="2">
        <v>0</v>
      </c>
      <c r="E1990" s="2" t="s">
        <v>0</v>
      </c>
      <c r="G1990" s="1" t="s">
        <v>1968</v>
      </c>
      <c r="H1990" s="2">
        <v>1</v>
      </c>
      <c r="J1990" s="15">
        <v>5199.88</v>
      </c>
      <c r="K1990" s="40">
        <v>0</v>
      </c>
    </row>
    <row r="1991" spans="1:11" x14ac:dyDescent="0.25">
      <c r="A1991" s="1">
        <v>2402242</v>
      </c>
      <c r="B1991" s="1" t="s">
        <v>1996</v>
      </c>
      <c r="D1991" s="2">
        <v>0</v>
      </c>
      <c r="E1991" s="2" t="s">
        <v>0</v>
      </c>
      <c r="G1991" s="1" t="s">
        <v>1968</v>
      </c>
      <c r="H1991" s="2">
        <v>1</v>
      </c>
      <c r="J1991" s="15">
        <v>118.16</v>
      </c>
      <c r="K1991" s="40">
        <v>0</v>
      </c>
    </row>
    <row r="1992" spans="1:11" x14ac:dyDescent="0.25">
      <c r="A1992" s="1">
        <v>2402243</v>
      </c>
      <c r="B1992" s="1" t="s">
        <v>1997</v>
      </c>
      <c r="D1992" s="2">
        <v>0</v>
      </c>
      <c r="E1992" s="2" t="s">
        <v>0</v>
      </c>
      <c r="G1992" s="1" t="s">
        <v>1968</v>
      </c>
      <c r="H1992" s="2">
        <v>1</v>
      </c>
      <c r="J1992" s="15">
        <v>236.29</v>
      </c>
      <c r="K1992" s="40">
        <v>0</v>
      </c>
    </row>
    <row r="1993" spans="1:11" x14ac:dyDescent="0.25">
      <c r="A1993" s="1">
        <v>2962013</v>
      </c>
      <c r="B1993" s="1" t="s">
        <v>1998</v>
      </c>
      <c r="D1993" s="2">
        <v>0</v>
      </c>
      <c r="E1993" s="2" t="s">
        <v>0</v>
      </c>
      <c r="G1993" s="1" t="s">
        <v>1968</v>
      </c>
      <c r="H1993" s="2">
        <v>1</v>
      </c>
      <c r="J1993" s="15">
        <v>33.700000000000003</v>
      </c>
      <c r="K1993" s="40">
        <v>0</v>
      </c>
    </row>
    <row r="1994" spans="1:11" x14ac:dyDescent="0.25">
      <c r="A1994" s="1">
        <v>6290736</v>
      </c>
      <c r="B1994" s="1" t="s">
        <v>1999</v>
      </c>
      <c r="D1994" s="2">
        <v>0</v>
      </c>
      <c r="E1994" s="2" t="s">
        <v>1902</v>
      </c>
      <c r="G1994" s="1" t="s">
        <v>786</v>
      </c>
      <c r="H1994" s="2">
        <v>1</v>
      </c>
      <c r="J1994" s="15">
        <v>152.4</v>
      </c>
      <c r="K1994" s="40">
        <v>0</v>
      </c>
    </row>
    <row r="1995" spans="1:11" x14ac:dyDescent="0.25">
      <c r="A1995" s="1">
        <v>1062079</v>
      </c>
      <c r="B1995" s="1" t="s">
        <v>2000</v>
      </c>
      <c r="D1995" s="2">
        <v>0</v>
      </c>
      <c r="E1995" s="2" t="s">
        <v>0</v>
      </c>
      <c r="G1995" s="1" t="s">
        <v>1968</v>
      </c>
      <c r="H1995" s="2">
        <v>1</v>
      </c>
      <c r="J1995" s="15">
        <v>13.77</v>
      </c>
      <c r="K1995" s="40">
        <v>0</v>
      </c>
    </row>
    <row r="1996" spans="1:11" x14ac:dyDescent="0.25">
      <c r="A1996" s="1">
        <v>2401015</v>
      </c>
      <c r="B1996" s="1" t="s">
        <v>2001</v>
      </c>
      <c r="D1996" s="2">
        <v>0</v>
      </c>
      <c r="E1996" s="2" t="s">
        <v>0</v>
      </c>
      <c r="G1996" s="1" t="s">
        <v>1968</v>
      </c>
      <c r="H1996" s="2">
        <v>1</v>
      </c>
      <c r="J1996" s="15">
        <v>8.36</v>
      </c>
      <c r="K1996" s="40">
        <v>0</v>
      </c>
    </row>
    <row r="1997" spans="1:11" x14ac:dyDescent="0.25">
      <c r="A1997" s="1">
        <v>2265634</v>
      </c>
      <c r="B1997" s="1" t="s">
        <v>2002</v>
      </c>
      <c r="D1997" s="2">
        <v>0</v>
      </c>
      <c r="E1997" s="2" t="s">
        <v>0</v>
      </c>
      <c r="G1997" s="1" t="s">
        <v>1968</v>
      </c>
      <c r="H1997" s="2">
        <v>1</v>
      </c>
      <c r="J1997" s="15">
        <v>5.5</v>
      </c>
      <c r="K1997" s="40">
        <v>0</v>
      </c>
    </row>
    <row r="1998" spans="1:11" x14ac:dyDescent="0.25">
      <c r="A1998" s="1">
        <v>2265322</v>
      </c>
      <c r="B1998" s="1" t="s">
        <v>2003</v>
      </c>
      <c r="D1998" s="2">
        <v>0</v>
      </c>
      <c r="E1998" s="2" t="s">
        <v>0</v>
      </c>
      <c r="G1998" s="1" t="s">
        <v>1968</v>
      </c>
      <c r="H1998" s="2">
        <v>1</v>
      </c>
      <c r="J1998" s="15">
        <v>5.5</v>
      </c>
      <c r="K1998" s="40">
        <v>0</v>
      </c>
    </row>
    <row r="1999" spans="1:11" x14ac:dyDescent="0.25">
      <c r="A1999" s="1">
        <v>2265627</v>
      </c>
      <c r="B1999" s="1" t="s">
        <v>2004</v>
      </c>
      <c r="D1999" s="2">
        <v>0</v>
      </c>
      <c r="E1999" s="2" t="s">
        <v>0</v>
      </c>
      <c r="G1999" s="1" t="s">
        <v>1968</v>
      </c>
      <c r="H1999" s="2">
        <v>1</v>
      </c>
      <c r="J1999" s="15">
        <v>4.18</v>
      </c>
      <c r="K1999" s="40">
        <v>0</v>
      </c>
    </row>
    <row r="2000" spans="1:11" x14ac:dyDescent="0.25">
      <c r="A2000" s="1">
        <v>2374101</v>
      </c>
      <c r="B2000" s="1" t="s">
        <v>2005</v>
      </c>
      <c r="D2000" s="2">
        <v>0</v>
      </c>
      <c r="E2000" s="2" t="s">
        <v>0</v>
      </c>
      <c r="G2000" s="1" t="s">
        <v>1968</v>
      </c>
      <c r="H2000" s="2">
        <v>1</v>
      </c>
      <c r="J2000" s="15">
        <v>4.18</v>
      </c>
      <c r="K2000" s="40">
        <v>0</v>
      </c>
    </row>
    <row r="2001" spans="1:11" x14ac:dyDescent="0.25">
      <c r="A2001" s="1">
        <v>2401179</v>
      </c>
      <c r="B2001" s="1" t="s">
        <v>2006</v>
      </c>
      <c r="D2001" s="2">
        <v>0</v>
      </c>
      <c r="E2001" s="2" t="s">
        <v>0</v>
      </c>
      <c r="G2001" s="1" t="s">
        <v>1968</v>
      </c>
      <c r="H2001" s="2">
        <v>1</v>
      </c>
      <c r="J2001" s="15">
        <v>531.92999999999995</v>
      </c>
      <c r="K2001" s="40">
        <v>0</v>
      </c>
    </row>
    <row r="2002" spans="1:11" x14ac:dyDescent="0.25">
      <c r="A2002" s="1">
        <v>2398369</v>
      </c>
      <c r="B2002" s="1" t="s">
        <v>2007</v>
      </c>
      <c r="D2002" s="2">
        <v>0</v>
      </c>
      <c r="E2002" s="2" t="s">
        <v>1901</v>
      </c>
      <c r="F2002" s="2" t="s">
        <v>2009</v>
      </c>
      <c r="G2002" s="1" t="s">
        <v>1968</v>
      </c>
      <c r="H2002" s="2">
        <v>1</v>
      </c>
      <c r="J2002" s="15">
        <v>7.3</v>
      </c>
      <c r="K2002" s="40">
        <v>0</v>
      </c>
    </row>
    <row r="2003" spans="1:11" x14ac:dyDescent="0.25">
      <c r="A2003" s="1">
        <v>2398371</v>
      </c>
      <c r="B2003" s="1" t="s">
        <v>2008</v>
      </c>
      <c r="D2003" s="2">
        <v>0</v>
      </c>
      <c r="E2003" s="2" t="s">
        <v>1901</v>
      </c>
      <c r="F2003" s="2" t="s">
        <v>2009</v>
      </c>
      <c r="G2003" s="1" t="s">
        <v>1968</v>
      </c>
      <c r="H2003" s="2">
        <v>1</v>
      </c>
      <c r="J2003" s="15">
        <v>11.93</v>
      </c>
      <c r="K2003" s="40">
        <v>0</v>
      </c>
    </row>
    <row r="2004" spans="1:11" x14ac:dyDescent="0.25">
      <c r="A2004" s="1">
        <v>2403898</v>
      </c>
      <c r="B2004" s="1" t="s">
        <v>2010</v>
      </c>
      <c r="D2004" s="2">
        <v>0</v>
      </c>
      <c r="E2004" s="2" t="s">
        <v>0</v>
      </c>
      <c r="G2004" s="1" t="s">
        <v>1968</v>
      </c>
      <c r="H2004" s="2">
        <v>1</v>
      </c>
      <c r="J2004" s="15">
        <v>14.16</v>
      </c>
      <c r="K2004" s="40">
        <v>0</v>
      </c>
    </row>
    <row r="2005" spans="1:11" x14ac:dyDescent="0.25">
      <c r="A2005" s="1">
        <v>1025565</v>
      </c>
      <c r="B2005" s="1" t="s">
        <v>2011</v>
      </c>
      <c r="D2005" s="2">
        <v>0</v>
      </c>
      <c r="E2005" s="2" t="s">
        <v>0</v>
      </c>
      <c r="G2005" s="1" t="s">
        <v>1968</v>
      </c>
      <c r="H2005" s="2">
        <v>1</v>
      </c>
      <c r="J2005" s="15">
        <v>48.06</v>
      </c>
      <c r="K2005" s="40">
        <v>0</v>
      </c>
    </row>
    <row r="2006" spans="1:11" x14ac:dyDescent="0.25">
      <c r="A2006" s="1">
        <v>2403635</v>
      </c>
      <c r="B2006" s="1" t="s">
        <v>2012</v>
      </c>
      <c r="D2006" s="2">
        <v>0</v>
      </c>
      <c r="E2006" s="2" t="s">
        <v>0</v>
      </c>
      <c r="G2006" s="1" t="s">
        <v>1968</v>
      </c>
      <c r="H2006" s="2">
        <v>1</v>
      </c>
      <c r="J2006" s="15">
        <v>57.94</v>
      </c>
      <c r="K2006" s="40">
        <v>0</v>
      </c>
    </row>
    <row r="2007" spans="1:11" x14ac:dyDescent="0.25">
      <c r="A2007" s="1">
        <v>2403634</v>
      </c>
      <c r="B2007" s="1" t="s">
        <v>2013</v>
      </c>
      <c r="D2007" s="2">
        <v>0</v>
      </c>
      <c r="E2007" s="2" t="s">
        <v>0</v>
      </c>
      <c r="G2007" s="1" t="s">
        <v>1968</v>
      </c>
      <c r="H2007" s="2">
        <v>1</v>
      </c>
      <c r="J2007" s="15">
        <v>92.74</v>
      </c>
      <c r="K2007" s="40">
        <v>0</v>
      </c>
    </row>
    <row r="2008" spans="1:11" x14ac:dyDescent="0.25">
      <c r="A2008" s="1">
        <v>2403899</v>
      </c>
      <c r="B2008" s="1" t="s">
        <v>2014</v>
      </c>
      <c r="D2008" s="2">
        <v>0</v>
      </c>
      <c r="E2008" s="2" t="s">
        <v>56</v>
      </c>
      <c r="G2008" s="1" t="s">
        <v>1968</v>
      </c>
      <c r="H2008" s="2">
        <v>1</v>
      </c>
      <c r="J2008" s="15">
        <v>3215.75</v>
      </c>
      <c r="K2008" s="40">
        <v>0</v>
      </c>
    </row>
    <row r="2009" spans="1:11" x14ac:dyDescent="0.25">
      <c r="A2009" s="1">
        <v>2394852</v>
      </c>
      <c r="B2009" s="1" t="s">
        <v>2046</v>
      </c>
      <c r="D2009" s="2">
        <v>0</v>
      </c>
      <c r="E2009" s="2" t="s">
        <v>0</v>
      </c>
      <c r="G2009" s="1" t="s">
        <v>1968</v>
      </c>
      <c r="H2009" s="2">
        <v>1</v>
      </c>
      <c r="J2009" s="15">
        <v>41.05</v>
      </c>
      <c r="K2009" s="40">
        <v>0</v>
      </c>
    </row>
    <row r="2010" spans="1:11" x14ac:dyDescent="0.25">
      <c r="A2010" s="1">
        <v>2404112</v>
      </c>
      <c r="B2010" s="1" t="s">
        <v>2047</v>
      </c>
      <c r="D2010" s="2">
        <v>0</v>
      </c>
      <c r="E2010" s="2" t="s">
        <v>0</v>
      </c>
      <c r="G2010" s="1" t="s">
        <v>1968</v>
      </c>
      <c r="H2010" s="2">
        <v>1</v>
      </c>
      <c r="J2010" s="15">
        <v>79.959999999999994</v>
      </c>
      <c r="K2010" s="40">
        <v>0</v>
      </c>
    </row>
    <row r="2011" spans="1:11" x14ac:dyDescent="0.25">
      <c r="A2011" s="1">
        <v>2404142</v>
      </c>
      <c r="B2011" s="1" t="s">
        <v>2048</v>
      </c>
      <c r="D2011" s="2">
        <v>0</v>
      </c>
      <c r="E2011" s="2" t="s">
        <v>0</v>
      </c>
      <c r="G2011" s="1" t="s">
        <v>1968</v>
      </c>
      <c r="H2011" s="2">
        <v>1</v>
      </c>
      <c r="J2011" s="15">
        <v>177.05</v>
      </c>
      <c r="K2011" s="40">
        <v>0</v>
      </c>
    </row>
    <row r="2012" spans="1:11" x14ac:dyDescent="0.25">
      <c r="A2012" s="1">
        <v>2404143</v>
      </c>
      <c r="B2012" s="1" t="s">
        <v>2049</v>
      </c>
      <c r="D2012" s="2">
        <v>0</v>
      </c>
      <c r="E2012" s="2" t="s">
        <v>0</v>
      </c>
      <c r="G2012" s="1" t="s">
        <v>1968</v>
      </c>
      <c r="H2012" s="2">
        <v>1</v>
      </c>
      <c r="J2012" s="15">
        <v>152.63</v>
      </c>
      <c r="K2012" s="40">
        <v>0</v>
      </c>
    </row>
    <row r="2013" spans="1:11" x14ac:dyDescent="0.25">
      <c r="A2013" s="1">
        <v>3919960</v>
      </c>
      <c r="B2013" s="1" t="s">
        <v>2050</v>
      </c>
      <c r="D2013" s="2">
        <v>0</v>
      </c>
      <c r="E2013" s="2" t="s">
        <v>0</v>
      </c>
      <c r="G2013" s="1" t="s">
        <v>1968</v>
      </c>
      <c r="H2013" s="2">
        <v>1</v>
      </c>
      <c r="J2013" s="15">
        <v>25.74</v>
      </c>
      <c r="K2013" s="40">
        <v>0</v>
      </c>
    </row>
  </sheetData>
  <protectedRanges>
    <protectedRange sqref="L2014:L2021 O2014:O2021" name="Range1"/>
    <protectedRange sqref="V325 M480:N480 Q537 J537:K537 M488:N488 B454 B438:B447 B541:B543 F451:F476 G537 F478:F482 B428:B429 G535 B431:B436 B568 B502 B585:B589 B596:B598 B482:B492 C613:C619 A1 B461:B464 B535 B575 B580:B582 B592 B594 B577:B578 B269:B272 B504:B515 B519 J592:K592 B603:B605 B606:C611 B406:B423 E539 G84 J535:K535 M459:N459 J504:K523 F429:F449 B620:C624 E2:E153 F613:F624 F2:G83 F212:F213 F324:F333 F295:F322 E295:E313 B238:B265 B689:C691 C688 C692 C695 B678:C678 B680:C680 B687:C687 C698:C700 C679 C681 C685:C686 B693:C694 B696:C697 B701:C701 B280:B351 C238:C351 E155:E167 J540:K580 G540:G580 B546:B566 F531:F581 B522:B531 F484:F504 J2:L167 G212:G520 B682:C683 B710:C712 E214:F294 F337:F427 V508 V541 V706 V455 V495 V498 V501 C406:C605 B352:C405 F506:F523 J718:K718 F335 B717:C719 M502:N502 M528:N528 M530:N531 M535:N536 M623:N623 M679 M720:N720 M602:N602 M612:N612 M695:N695 M716:N716 S295:S313 M718:N718 B721:C724 L504:L724 B703:C708 T295:U712 F85:G167 J756:K756 J730:K738 M756 L730:L756 E169:E213 J169:L503 S169:U294 R169:R724 F169:G211 T757:U764 E1:L1 V169:V313 B756:C771 F757:G771 J757:M770 B2:C237 D756:G756 D169:D724 D168:G168 D757:D764 D765:E771 Q535 Q540:Q579 Q727:V738 Q756:V756 Q169:Q417 Q757:R764 Q765:V771 J771 L771:N771 K771:K1897 M3:N167 J168:N168 M169:N423 N429 N455 M458 N457:N458 N474 N495 N499 N501 M508:N508 M540:N581 N600 N620 N626 N645 N653 N658 N661 N666:N667 N675:N682 N686 M687:N691 N696 N699:N704 N707:N708 N710 M714:N714 N719 M721 N721:N724 J727:N729 M730:N736 M737:M738 N737:N741 N743:N745 N749:N754 N756:N770 M1:O2 Q1:V168 D2:D167 D744 D749:D750 D752 B727:G738 D772:D1967 L772:L2013 O3:O2013" name="Range1_3"/>
    <protectedRange sqref="H528 H535 H537 H504:H523 H540:H581 H718:I718 H727:I738 H2:I503 I504:I624 H756:I771" name="Range1_1_1"/>
    <protectedRange sqref="P1 B1:D1" name="Range1_2_1"/>
    <protectedRange sqref="E154" name="Range1_22_1"/>
    <protectedRange sqref="A587:A589 A593 A595 A602:A603 A2:A12 A14:A21 A528:A583 A464:A523 A613:A674 A717:A724 A678:A701 A703:A712 A23:A462 A756:A771 A727:A738" name="Range1_3_2"/>
  </protectedRange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
  <sheetViews>
    <sheetView workbookViewId="0"/>
  </sheetViews>
  <sheetFormatPr defaultColWidth="8.7109375" defaultRowHeight="15" x14ac:dyDescent="0.25"/>
  <cols>
    <col min="1" max="1" width="14.5703125" customWidth="1"/>
    <col min="2" max="2" width="14.28515625" customWidth="1"/>
    <col min="3" max="3" width="64.7109375" customWidth="1"/>
    <col min="4" max="4" width="12" customWidth="1"/>
    <col min="5" max="5" width="10.7109375" customWidth="1"/>
    <col min="6" max="6" width="7.140625" customWidth="1"/>
    <col min="7" max="7" width="11.42578125" customWidth="1"/>
    <col min="8" max="8" width="10.7109375" customWidth="1"/>
    <col min="9" max="16384" width="8.7109375" style="7"/>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16"/>
  <sheetViews>
    <sheetView workbookViewId="0">
      <selection activeCell="C3" sqref="C3"/>
    </sheetView>
  </sheetViews>
  <sheetFormatPr defaultRowHeight="15" x14ac:dyDescent="0.25"/>
  <cols>
    <col min="1" max="1" width="15.5703125" bestFit="1" customWidth="1"/>
    <col min="2" max="2" width="149.28515625" customWidth="1"/>
    <col min="5" max="5" width="15.5703125" bestFit="1" customWidth="1"/>
    <col min="6" max="6" width="56" customWidth="1"/>
  </cols>
  <sheetData>
    <row r="1" spans="1:2" x14ac:dyDescent="0.25">
      <c r="A1" t="s">
        <v>2041</v>
      </c>
      <c r="B1" t="s">
        <v>2042</v>
      </c>
    </row>
    <row r="2" spans="1:2" ht="30" x14ac:dyDescent="0.25">
      <c r="A2" t="s">
        <v>2043</v>
      </c>
      <c r="B2" s="16" t="s">
        <v>2066</v>
      </c>
    </row>
    <row r="3" spans="1:2" ht="30" x14ac:dyDescent="0.25">
      <c r="A3" t="s">
        <v>2044</v>
      </c>
      <c r="B3" s="16" t="s">
        <v>2067</v>
      </c>
    </row>
    <row r="4" spans="1:2" ht="30" x14ac:dyDescent="0.25">
      <c r="A4" t="s">
        <v>2038</v>
      </c>
      <c r="B4" s="16" t="s">
        <v>2068</v>
      </c>
    </row>
    <row r="5" spans="1:2" ht="60" x14ac:dyDescent="0.25">
      <c r="A5" t="s">
        <v>2039</v>
      </c>
      <c r="B5" s="16" t="s">
        <v>2069</v>
      </c>
    </row>
    <row r="6" spans="1:2" ht="30" x14ac:dyDescent="0.25">
      <c r="A6" t="s">
        <v>2040</v>
      </c>
      <c r="B6" s="16" t="s">
        <v>2064</v>
      </c>
    </row>
    <row r="7" spans="1:2" x14ac:dyDescent="0.25">
      <c r="A7" t="s">
        <v>2045</v>
      </c>
      <c r="B7" s="16" t="s">
        <v>2063</v>
      </c>
    </row>
    <row r="8" spans="1:2" ht="120" x14ac:dyDescent="0.25">
      <c r="A8" t="s">
        <v>2059</v>
      </c>
      <c r="B8" s="16" t="s">
        <v>2070</v>
      </c>
    </row>
    <row r="12" spans="1:2" x14ac:dyDescent="0.25">
      <c r="A12" t="s">
        <v>2060</v>
      </c>
      <c r="B12" t="s">
        <v>2042</v>
      </c>
    </row>
    <row r="13" spans="1:2" ht="30" x14ac:dyDescent="0.25">
      <c r="A13" t="s">
        <v>2062</v>
      </c>
      <c r="B13" s="16" t="s">
        <v>2065</v>
      </c>
    </row>
    <row r="14" spans="1:2" x14ac:dyDescent="0.25">
      <c r="A14" t="s">
        <v>2073</v>
      </c>
      <c r="B14" s="16" t="s">
        <v>2071</v>
      </c>
    </row>
    <row r="15" spans="1:2" x14ac:dyDescent="0.25">
      <c r="A15" t="s">
        <v>628</v>
      </c>
      <c r="B15" t="s">
        <v>2061</v>
      </c>
    </row>
    <row r="16" spans="1:2" x14ac:dyDescent="0.25">
      <c r="A16" t="s">
        <v>2034</v>
      </c>
      <c r="B16" t="s">
        <v>2061</v>
      </c>
    </row>
  </sheetData>
  <phoneticPr fontId="44" type="noConversion"/>
  <pageMargins left="0.7" right="0.7" top="0.75" bottom="0.75" header="0.3" footer="0.3"/>
  <drawing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2"/>
  <sheetViews>
    <sheetView zoomScaleNormal="100" workbookViewId="0">
      <pane ySplit="1" topLeftCell="A2" activePane="bottomLeft" state="frozen"/>
      <selection pane="bottomLeft" activeCell="A2" sqref="A2"/>
    </sheetView>
  </sheetViews>
  <sheetFormatPr defaultColWidth="8.7109375" defaultRowHeight="15" x14ac:dyDescent="0.25"/>
  <cols>
    <col min="1" max="2" width="9.140625" customWidth="1"/>
    <col min="3" max="16384" width="8.7109375" style="7"/>
  </cols>
  <sheetData>
    <row r="1" spans="1:2" x14ac:dyDescent="0.25">
      <c r="A1" s="10" t="s">
        <v>2082</v>
      </c>
      <c r="B1" s="10" t="s">
        <v>2016</v>
      </c>
    </row>
    <row r="2" spans="1:2" x14ac:dyDescent="0.25">
      <c r="A2">
        <v>2285081</v>
      </c>
      <c r="B2">
        <v>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dvalues">
                <anchor moveWithCells="1" sizeWithCells="1">
                  <from>
                    <xdr:col>3</xdr:col>
                    <xdr:colOff>9525</xdr:colOff>
                    <xdr:row>0</xdr:row>
                    <xdr:rowOff>9525</xdr:rowOff>
                  </from>
                  <to>
                    <xdr:col>3</xdr:col>
                    <xdr:colOff>609600</xdr:colOff>
                    <xdr:row>0</xdr:row>
                    <xdr:rowOff>180975</xdr:rowOff>
                  </to>
                </anchor>
              </controlPr>
            </control>
          </mc:Choice>
        </mc:AlternateContent>
        <mc:AlternateContent xmlns:mc="http://schemas.openxmlformats.org/markup-compatibility/2006">
          <mc:Choice Requires="x14">
            <control shapeId="8194" r:id="rId5" name="Button 2">
              <controlPr defaultSize="0" print="0" autoFill="0" autoPict="0" macro="[0]!replacevalues">
                <anchor moveWithCells="1" sizeWithCells="1">
                  <from>
                    <xdr:col>4</xdr:col>
                    <xdr:colOff>9525</xdr:colOff>
                    <xdr:row>0</xdr:row>
                    <xdr:rowOff>9525</xdr:rowOff>
                  </from>
                  <to>
                    <xdr:col>5</xdr:col>
                    <xdr:colOff>0</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ySplit="1" topLeftCell="A2" activePane="bottomLeft" state="frozen"/>
      <selection pane="bottomLeft" activeCell="J16" sqref="J16"/>
    </sheetView>
  </sheetViews>
  <sheetFormatPr defaultColWidth="8.7109375" defaultRowHeight="15" x14ac:dyDescent="0.25"/>
  <cols>
    <col min="1" max="1" width="9.140625" customWidth="1"/>
    <col min="2" max="2" width="17.42578125" customWidth="1"/>
    <col min="3" max="16384" width="8.7109375" style="7"/>
  </cols>
  <sheetData>
    <row r="1" spans="1:2" x14ac:dyDescent="0.25">
      <c r="A1" t="s">
        <v>2082</v>
      </c>
      <c r="B1" t="s">
        <v>2017</v>
      </c>
    </row>
    <row r="2" spans="1:2" x14ac:dyDescent="0.25">
      <c r="A2" s="17"/>
      <c r="B2" s="17"/>
    </row>
  </sheetData>
  <protectedRanges>
    <protectedRange sqref="A2" name="Range1_3"/>
    <protectedRange sqref="B2" name="Range1_3_1"/>
  </protectedRange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filterMode="1"/>
  <dimension ref="A1:I501"/>
  <sheetViews>
    <sheetView zoomScaleNormal="100" workbookViewId="0">
      <pane ySplit="1" topLeftCell="A2" activePane="bottomLeft" state="frozen"/>
      <selection pane="bottomLeft"/>
    </sheetView>
  </sheetViews>
  <sheetFormatPr defaultColWidth="8.7109375" defaultRowHeight="15" x14ac:dyDescent="0.25"/>
  <cols>
    <col min="1" max="1" width="13.28515625" style="7" bestFit="1" customWidth="1"/>
    <col min="2" max="2" width="16.28515625" style="7" bestFit="1" customWidth="1"/>
    <col min="3" max="4" width="11" style="7" bestFit="1" customWidth="1"/>
    <col min="5" max="5" width="9.28515625" style="7" bestFit="1" customWidth="1"/>
    <col min="6" max="7" width="8.7109375" style="7"/>
    <col min="8" max="8" width="10" style="7" bestFit="1" customWidth="1"/>
    <col min="9" max="9" width="13.5703125" style="7" customWidth="1"/>
    <col min="10" max="10" width="10.85546875" style="7" bestFit="1" customWidth="1"/>
    <col min="11" max="11" width="13.42578125" style="7" bestFit="1" customWidth="1"/>
    <col min="12" max="12" width="10.7109375" style="7" bestFit="1" customWidth="1"/>
    <col min="13" max="16384" width="8.7109375" style="7"/>
  </cols>
  <sheetData>
    <row r="1" spans="1:9" ht="15.75" thickBot="1" x14ac:dyDescent="0.3">
      <c r="A1" s="10" t="s">
        <v>2083</v>
      </c>
      <c r="B1" s="10" t="s">
        <v>628</v>
      </c>
      <c r="C1" s="10" t="s">
        <v>2019</v>
      </c>
      <c r="D1" s="10" t="s">
        <v>2020</v>
      </c>
      <c r="E1" s="10" t="s">
        <v>2018</v>
      </c>
      <c r="H1" s="11" t="s">
        <v>630</v>
      </c>
      <c r="I1" s="12">
        <f>Build_Type</f>
        <v>0</v>
      </c>
    </row>
    <row r="2" spans="1:9" ht="15.75" hidden="1" thickTop="1" x14ac:dyDescent="0.25">
      <c r="A2" t="e" cm="1">
        <f t="array" aca="1" ref="A2:A34" ca="1">_xlfn.UNIQUE(MinorMajors[Minor Part ID])</f>
        <v>#NAME?</v>
      </c>
      <c r="B2" t="e">
        <f ca="1">VLOOKUP(A2, Mats[], 8, 0)</f>
        <v>#NAME?</v>
      </c>
      <c r="C2" cm="1">
        <f t="array" aca="1" ref="C2:C34" ca="1">IFERROR( SUMIFS( MinorMajors[Needed '#], MinorMajors[Minor Part ID],_xlfn.UNIQUE(MinorMajors[Minor Part ID]), MinorMajors[Build Type], 'Minor Materials'!$I$1), 0)</f>
        <v>0</v>
      </c>
      <c r="D2" cm="1">
        <f t="array" aca="1" ref="D2:D34" ca="1">IFERROR( VLOOKUP( _xlfn.UNIQUE(MinorMajors[Minor Part ID]),#REF! :#REF!, 8, 0), 0)</f>
        <v>0</v>
      </c>
      <c r="E2" s="8">
        <f>IFERROR( IF( $I$1 = 0, 0, ROUNDUP( C2/B2, 0)*B2 - D2), 0)</f>
        <v>0</v>
      </c>
    </row>
    <row r="3" spans="1:9" hidden="1" x14ac:dyDescent="0.25">
      <c r="A3" t="e">
        <f ca="1"/>
        <v>#NAME?</v>
      </c>
      <c r="B3" t="e">
        <f ca="1">VLOOKUP(A3, Mats[], 8, 0)</f>
        <v>#NAME?</v>
      </c>
      <c r="C3">
        <f ca="1"/>
        <v>0</v>
      </c>
      <c r="D3">
        <f ca="1"/>
        <v>0</v>
      </c>
      <c r="E3" s="8">
        <f t="shared" ref="E3:E66" si="0">IFERROR( IF( $I$1 = 0, 0, ROUNDUP( C3/B3, 0)*B3 - D3), 0)</f>
        <v>0</v>
      </c>
    </row>
    <row r="4" spans="1:9" hidden="1" x14ac:dyDescent="0.25">
      <c r="A4" t="e">
        <f ca="1"/>
        <v>#NAME?</v>
      </c>
      <c r="B4" t="e">
        <f ca="1">VLOOKUP(A4, Mats[], 8, 0)</f>
        <v>#NAME?</v>
      </c>
      <c r="C4" s="9">
        <f ca="1"/>
        <v>0</v>
      </c>
      <c r="D4" s="9">
        <f ca="1"/>
        <v>0</v>
      </c>
      <c r="E4" s="8">
        <f t="shared" si="0"/>
        <v>0</v>
      </c>
    </row>
    <row r="5" spans="1:9" hidden="1" x14ac:dyDescent="0.25">
      <c r="A5" t="e">
        <f ca="1"/>
        <v>#NAME?</v>
      </c>
      <c r="B5" t="e">
        <f ca="1">VLOOKUP(A5, Mats[], 8, 0)</f>
        <v>#NAME?</v>
      </c>
      <c r="C5">
        <f ca="1"/>
        <v>0</v>
      </c>
      <c r="D5" s="8">
        <f ca="1"/>
        <v>0</v>
      </c>
      <c r="E5" s="8">
        <f t="shared" si="0"/>
        <v>0</v>
      </c>
    </row>
    <row r="6" spans="1:9" hidden="1" x14ac:dyDescent="0.25">
      <c r="A6" t="e">
        <f ca="1"/>
        <v>#NAME?</v>
      </c>
      <c r="B6" t="e">
        <f ca="1">VLOOKUP(A6, Mats[], 8, 0)</f>
        <v>#NAME?</v>
      </c>
      <c r="C6">
        <f ca="1"/>
        <v>0</v>
      </c>
      <c r="D6" s="8">
        <f ca="1"/>
        <v>0</v>
      </c>
      <c r="E6" s="8">
        <f t="shared" si="0"/>
        <v>0</v>
      </c>
    </row>
    <row r="7" spans="1:9" hidden="1" x14ac:dyDescent="0.25">
      <c r="A7" t="e">
        <f ca="1"/>
        <v>#NAME?</v>
      </c>
      <c r="B7" t="e">
        <f ca="1">VLOOKUP(A7, Mats[], 8, 0)</f>
        <v>#NAME?</v>
      </c>
      <c r="C7">
        <f ca="1"/>
        <v>0</v>
      </c>
      <c r="D7" s="8">
        <f ca="1"/>
        <v>0</v>
      </c>
      <c r="E7" s="8">
        <f t="shared" si="0"/>
        <v>0</v>
      </c>
    </row>
    <row r="8" spans="1:9" hidden="1" x14ac:dyDescent="0.25">
      <c r="A8" t="e">
        <f ca="1"/>
        <v>#NAME?</v>
      </c>
      <c r="B8" t="e">
        <f ca="1">VLOOKUP(A8, Mats[], 8, 0)</f>
        <v>#NAME?</v>
      </c>
      <c r="C8">
        <f ca="1"/>
        <v>0</v>
      </c>
      <c r="D8" s="8">
        <f ca="1"/>
        <v>0</v>
      </c>
      <c r="E8" s="8">
        <f t="shared" si="0"/>
        <v>0</v>
      </c>
    </row>
    <row r="9" spans="1:9" hidden="1" x14ac:dyDescent="0.25">
      <c r="A9" t="e">
        <f ca="1"/>
        <v>#NAME?</v>
      </c>
      <c r="B9" t="e">
        <f ca="1">VLOOKUP(A9, Mats[], 8, 0)</f>
        <v>#NAME?</v>
      </c>
      <c r="C9">
        <f ca="1"/>
        <v>0</v>
      </c>
      <c r="D9" s="8">
        <f ca="1"/>
        <v>0</v>
      </c>
      <c r="E9" s="8">
        <f t="shared" si="0"/>
        <v>0</v>
      </c>
    </row>
    <row r="10" spans="1:9" hidden="1" x14ac:dyDescent="0.25">
      <c r="A10" t="e">
        <f ca="1"/>
        <v>#NAME?</v>
      </c>
      <c r="B10" t="e">
        <f ca="1">VLOOKUP(A10, Mats[], 8, 0)</f>
        <v>#NAME?</v>
      </c>
      <c r="C10">
        <f ca="1"/>
        <v>0</v>
      </c>
      <c r="D10" s="8">
        <f ca="1"/>
        <v>0</v>
      </c>
      <c r="E10" s="8">
        <f t="shared" si="0"/>
        <v>0</v>
      </c>
    </row>
    <row r="11" spans="1:9" hidden="1" x14ac:dyDescent="0.25">
      <c r="A11" t="e">
        <f ca="1"/>
        <v>#NAME?</v>
      </c>
      <c r="B11" t="e">
        <f ca="1">VLOOKUP(A11, Mats[], 8, 0)</f>
        <v>#NAME?</v>
      </c>
      <c r="C11">
        <f ca="1"/>
        <v>0</v>
      </c>
      <c r="D11" s="8">
        <f ca="1"/>
        <v>0</v>
      </c>
      <c r="E11" s="8">
        <f t="shared" si="0"/>
        <v>0</v>
      </c>
    </row>
    <row r="12" spans="1:9" hidden="1" x14ac:dyDescent="0.25">
      <c r="A12" t="e">
        <f ca="1"/>
        <v>#NAME?</v>
      </c>
      <c r="B12" t="e">
        <f ca="1">VLOOKUP(A12, Mats[], 8, 0)</f>
        <v>#NAME?</v>
      </c>
      <c r="C12">
        <f ca="1"/>
        <v>0</v>
      </c>
      <c r="D12" s="8">
        <f ca="1"/>
        <v>0</v>
      </c>
      <c r="E12" s="8">
        <f t="shared" si="0"/>
        <v>0</v>
      </c>
    </row>
    <row r="13" spans="1:9" hidden="1" x14ac:dyDescent="0.25">
      <c r="A13" t="e">
        <f ca="1"/>
        <v>#NAME?</v>
      </c>
      <c r="B13" t="e">
        <f ca="1">VLOOKUP(A13, Mats[], 8, 0)</f>
        <v>#NAME?</v>
      </c>
      <c r="C13">
        <f ca="1"/>
        <v>0</v>
      </c>
      <c r="D13" s="8">
        <f ca="1"/>
        <v>0</v>
      </c>
      <c r="E13" s="8">
        <f t="shared" si="0"/>
        <v>0</v>
      </c>
    </row>
    <row r="14" spans="1:9" hidden="1" x14ac:dyDescent="0.25">
      <c r="A14" t="e">
        <f ca="1"/>
        <v>#NAME?</v>
      </c>
      <c r="B14" t="e">
        <f ca="1">VLOOKUP(A14, Mats[], 8, 0)</f>
        <v>#NAME?</v>
      </c>
      <c r="C14">
        <f ca="1"/>
        <v>0</v>
      </c>
      <c r="D14" s="8">
        <f ca="1"/>
        <v>0</v>
      </c>
      <c r="E14" s="8">
        <f t="shared" si="0"/>
        <v>0</v>
      </c>
    </row>
    <row r="15" spans="1:9" hidden="1" x14ac:dyDescent="0.25">
      <c r="A15" t="e">
        <f ca="1"/>
        <v>#NAME?</v>
      </c>
      <c r="B15" t="e">
        <f ca="1">VLOOKUP(A15, Mats[], 8, 0)</f>
        <v>#NAME?</v>
      </c>
      <c r="C15">
        <f ca="1"/>
        <v>0</v>
      </c>
      <c r="D15" s="8">
        <f ca="1"/>
        <v>0</v>
      </c>
      <c r="E15" s="8">
        <f t="shared" si="0"/>
        <v>0</v>
      </c>
    </row>
    <row r="16" spans="1:9" hidden="1" x14ac:dyDescent="0.25">
      <c r="A16" t="e">
        <f ca="1"/>
        <v>#NAME?</v>
      </c>
      <c r="B16" t="e">
        <f ca="1">VLOOKUP(A16, Mats[], 8, 0)</f>
        <v>#NAME?</v>
      </c>
      <c r="C16">
        <f ca="1"/>
        <v>0</v>
      </c>
      <c r="D16" s="8">
        <f ca="1"/>
        <v>0</v>
      </c>
      <c r="E16" s="8">
        <f t="shared" si="0"/>
        <v>0</v>
      </c>
    </row>
    <row r="17" spans="1:5" hidden="1" x14ac:dyDescent="0.25">
      <c r="A17" t="e">
        <f ca="1"/>
        <v>#NAME?</v>
      </c>
      <c r="B17" t="e">
        <f ca="1">VLOOKUP(A17, Mats[], 8, 0)</f>
        <v>#NAME?</v>
      </c>
      <c r="C17">
        <f ca="1"/>
        <v>0</v>
      </c>
      <c r="D17" s="8">
        <f ca="1"/>
        <v>0</v>
      </c>
      <c r="E17" s="8">
        <f t="shared" si="0"/>
        <v>0</v>
      </c>
    </row>
    <row r="18" spans="1:5" hidden="1" x14ac:dyDescent="0.25">
      <c r="A18" t="e">
        <f ca="1"/>
        <v>#NAME?</v>
      </c>
      <c r="B18" t="e">
        <f ca="1">VLOOKUP(A18, Mats[], 8, 0)</f>
        <v>#NAME?</v>
      </c>
      <c r="C18">
        <f ca="1"/>
        <v>0</v>
      </c>
      <c r="D18" s="8">
        <f ca="1"/>
        <v>0</v>
      </c>
      <c r="E18" s="8">
        <f t="shared" si="0"/>
        <v>0</v>
      </c>
    </row>
    <row r="19" spans="1:5" hidden="1" x14ac:dyDescent="0.25">
      <c r="A19" t="e">
        <f ca="1"/>
        <v>#NAME?</v>
      </c>
      <c r="B19" t="e">
        <f ca="1">VLOOKUP(A19, Mats[], 8, 0)</f>
        <v>#NAME?</v>
      </c>
      <c r="C19">
        <f ca="1"/>
        <v>0</v>
      </c>
      <c r="D19" s="8">
        <f ca="1"/>
        <v>0</v>
      </c>
      <c r="E19" s="8">
        <f t="shared" si="0"/>
        <v>0</v>
      </c>
    </row>
    <row r="20" spans="1:5" hidden="1" x14ac:dyDescent="0.25">
      <c r="A20" t="e">
        <f ca="1"/>
        <v>#NAME?</v>
      </c>
      <c r="B20" t="e">
        <f ca="1">VLOOKUP(A20, Mats[], 8, 0)</f>
        <v>#NAME?</v>
      </c>
      <c r="C20">
        <f ca="1"/>
        <v>0</v>
      </c>
      <c r="D20" s="8">
        <f ca="1"/>
        <v>0</v>
      </c>
      <c r="E20" s="8">
        <f t="shared" si="0"/>
        <v>0</v>
      </c>
    </row>
    <row r="21" spans="1:5" hidden="1" x14ac:dyDescent="0.25">
      <c r="A21" t="e">
        <f ca="1"/>
        <v>#NAME?</v>
      </c>
      <c r="B21" t="e">
        <f ca="1">VLOOKUP(A21, Mats[], 8, 0)</f>
        <v>#NAME?</v>
      </c>
      <c r="C21">
        <f ca="1"/>
        <v>0</v>
      </c>
      <c r="D21" s="8">
        <f ca="1"/>
        <v>0</v>
      </c>
      <c r="E21" s="8">
        <f t="shared" si="0"/>
        <v>0</v>
      </c>
    </row>
    <row r="22" spans="1:5" hidden="1" x14ac:dyDescent="0.25">
      <c r="A22" t="e">
        <f ca="1"/>
        <v>#NAME?</v>
      </c>
      <c r="B22" t="e">
        <f ca="1">VLOOKUP(A22, Mats[], 8, 0)</f>
        <v>#NAME?</v>
      </c>
      <c r="C22">
        <f ca="1"/>
        <v>0</v>
      </c>
      <c r="D22" s="8">
        <f ca="1"/>
        <v>0</v>
      </c>
      <c r="E22" s="8">
        <f t="shared" si="0"/>
        <v>0</v>
      </c>
    </row>
    <row r="23" spans="1:5" hidden="1" x14ac:dyDescent="0.25">
      <c r="A23" t="e">
        <f ca="1"/>
        <v>#NAME?</v>
      </c>
      <c r="B23" t="e">
        <f ca="1">VLOOKUP(A23, Mats[], 8, 0)</f>
        <v>#NAME?</v>
      </c>
      <c r="C23">
        <f ca="1"/>
        <v>0</v>
      </c>
      <c r="D23" s="8">
        <f ca="1"/>
        <v>0</v>
      </c>
      <c r="E23" s="8">
        <f t="shared" si="0"/>
        <v>0</v>
      </c>
    </row>
    <row r="24" spans="1:5" hidden="1" x14ac:dyDescent="0.25">
      <c r="A24" t="e">
        <f ca="1"/>
        <v>#NAME?</v>
      </c>
      <c r="B24" t="e">
        <f ca="1">VLOOKUP(A24, Mats[], 8, 0)</f>
        <v>#NAME?</v>
      </c>
      <c r="C24">
        <f ca="1"/>
        <v>0</v>
      </c>
      <c r="D24" s="8">
        <f ca="1"/>
        <v>0</v>
      </c>
      <c r="E24" s="8">
        <f t="shared" si="0"/>
        <v>0</v>
      </c>
    </row>
    <row r="25" spans="1:5" hidden="1" x14ac:dyDescent="0.25">
      <c r="A25" t="e">
        <f ca="1"/>
        <v>#NAME?</v>
      </c>
      <c r="B25" t="e">
        <f ca="1">VLOOKUP(A25, Mats[], 8, 0)</f>
        <v>#NAME?</v>
      </c>
      <c r="C25">
        <f ca="1"/>
        <v>0</v>
      </c>
      <c r="D25" s="8">
        <f ca="1"/>
        <v>0</v>
      </c>
      <c r="E25" s="8">
        <f t="shared" si="0"/>
        <v>0</v>
      </c>
    </row>
    <row r="26" spans="1:5" hidden="1" x14ac:dyDescent="0.25">
      <c r="A26" t="e">
        <f ca="1"/>
        <v>#NAME?</v>
      </c>
      <c r="B26" t="e">
        <f ca="1">VLOOKUP(A26, Mats[], 8, 0)</f>
        <v>#NAME?</v>
      </c>
      <c r="C26">
        <f ca="1"/>
        <v>0</v>
      </c>
      <c r="D26" s="8">
        <f ca="1"/>
        <v>0</v>
      </c>
      <c r="E26" s="8">
        <f t="shared" si="0"/>
        <v>0</v>
      </c>
    </row>
    <row r="27" spans="1:5" hidden="1" x14ac:dyDescent="0.25">
      <c r="A27" t="e">
        <f ca="1"/>
        <v>#NAME?</v>
      </c>
      <c r="B27" t="e">
        <f ca="1">VLOOKUP(A27, Mats[], 8, 0)</f>
        <v>#NAME?</v>
      </c>
      <c r="C27">
        <f ca="1"/>
        <v>0</v>
      </c>
      <c r="D27" s="8">
        <f ca="1"/>
        <v>0</v>
      </c>
      <c r="E27" s="8">
        <f t="shared" si="0"/>
        <v>0</v>
      </c>
    </row>
    <row r="28" spans="1:5" hidden="1" x14ac:dyDescent="0.25">
      <c r="A28" t="e">
        <f ca="1"/>
        <v>#NAME?</v>
      </c>
      <c r="B28" t="e">
        <f ca="1">VLOOKUP(A28, Mats[], 8, 0)</f>
        <v>#NAME?</v>
      </c>
      <c r="C28">
        <f ca="1"/>
        <v>0</v>
      </c>
      <c r="D28" s="8">
        <f ca="1"/>
        <v>0</v>
      </c>
      <c r="E28" s="8">
        <f t="shared" si="0"/>
        <v>0</v>
      </c>
    </row>
    <row r="29" spans="1:5" hidden="1" x14ac:dyDescent="0.25">
      <c r="A29" t="e">
        <f ca="1"/>
        <v>#NAME?</v>
      </c>
      <c r="B29" t="e">
        <f ca="1">VLOOKUP(A29, Mats[], 8, 0)</f>
        <v>#NAME?</v>
      </c>
      <c r="C29">
        <f ca="1"/>
        <v>0</v>
      </c>
      <c r="D29" s="8">
        <f ca="1"/>
        <v>0</v>
      </c>
      <c r="E29" s="8">
        <f t="shared" si="0"/>
        <v>0</v>
      </c>
    </row>
    <row r="30" spans="1:5" hidden="1" x14ac:dyDescent="0.25">
      <c r="A30" t="e">
        <f ca="1"/>
        <v>#NAME?</v>
      </c>
      <c r="B30" t="e">
        <f ca="1">VLOOKUP(A30, Mats[], 8, 0)</f>
        <v>#NAME?</v>
      </c>
      <c r="C30">
        <f ca="1"/>
        <v>0</v>
      </c>
      <c r="D30" s="8">
        <f ca="1"/>
        <v>0</v>
      </c>
      <c r="E30" s="8">
        <f t="shared" si="0"/>
        <v>0</v>
      </c>
    </row>
    <row r="31" spans="1:5" hidden="1" x14ac:dyDescent="0.25">
      <c r="A31" t="e">
        <f ca="1"/>
        <v>#NAME?</v>
      </c>
      <c r="B31" t="e">
        <f ca="1">VLOOKUP(A31, Mats[], 8, 0)</f>
        <v>#NAME?</v>
      </c>
      <c r="C31">
        <f ca="1"/>
        <v>0</v>
      </c>
      <c r="D31" s="8">
        <f ca="1"/>
        <v>0</v>
      </c>
      <c r="E31" s="8">
        <f t="shared" si="0"/>
        <v>0</v>
      </c>
    </row>
    <row r="32" spans="1:5" hidden="1" x14ac:dyDescent="0.25">
      <c r="A32" t="e">
        <f ca="1"/>
        <v>#NAME?</v>
      </c>
      <c r="B32" t="e">
        <f ca="1">VLOOKUP(A32, Mats[], 8, 0)</f>
        <v>#NAME?</v>
      </c>
      <c r="C32">
        <f ca="1"/>
        <v>0</v>
      </c>
      <c r="D32" s="8">
        <f ca="1"/>
        <v>0</v>
      </c>
      <c r="E32" s="8">
        <f t="shared" si="0"/>
        <v>0</v>
      </c>
    </row>
    <row r="33" spans="1:5" hidden="1" x14ac:dyDescent="0.25">
      <c r="A33" t="e">
        <f ca="1"/>
        <v>#NAME?</v>
      </c>
      <c r="B33" t="e">
        <f ca="1">VLOOKUP(A33, Mats[], 8, 0)</f>
        <v>#NAME?</v>
      </c>
      <c r="C33">
        <f ca="1"/>
        <v>0</v>
      </c>
      <c r="D33" s="8">
        <f ca="1"/>
        <v>0</v>
      </c>
      <c r="E33" s="8">
        <f t="shared" si="0"/>
        <v>0</v>
      </c>
    </row>
    <row r="34" spans="1:5" hidden="1" x14ac:dyDescent="0.25">
      <c r="A34" t="e">
        <f ca="1"/>
        <v>#NAME?</v>
      </c>
      <c r="B34" t="e">
        <f ca="1">VLOOKUP(A34, Mats[], 8, 0)</f>
        <v>#NAME?</v>
      </c>
      <c r="C34">
        <f ca="1"/>
        <v>0</v>
      </c>
      <c r="D34" s="8">
        <f ca="1"/>
        <v>0</v>
      </c>
      <c r="E34" s="8">
        <f t="shared" si="0"/>
        <v>0</v>
      </c>
    </row>
    <row r="35" spans="1:5" hidden="1" x14ac:dyDescent="0.25">
      <c r="A35"/>
      <c r="B35" t="e">
        <f>VLOOKUP(A35, Mats[], 8, 0)</f>
        <v>#N/A</v>
      </c>
      <c r="C35"/>
      <c r="D35" s="8"/>
      <c r="E35" s="8">
        <f t="shared" si="0"/>
        <v>0</v>
      </c>
    </row>
    <row r="36" spans="1:5" hidden="1" x14ac:dyDescent="0.25">
      <c r="A36"/>
      <c r="B36" t="e">
        <f>VLOOKUP(A36, Mats[], 8, 0)</f>
        <v>#N/A</v>
      </c>
      <c r="C36"/>
      <c r="D36" s="8"/>
      <c r="E36" s="8">
        <f t="shared" si="0"/>
        <v>0</v>
      </c>
    </row>
    <row r="37" spans="1:5" hidden="1" x14ac:dyDescent="0.25">
      <c r="A37"/>
      <c r="B37" t="e">
        <f>VLOOKUP(A37, Mats[], 8, 0)</f>
        <v>#N/A</v>
      </c>
      <c r="C37"/>
      <c r="D37" s="8"/>
      <c r="E37" s="8">
        <f t="shared" si="0"/>
        <v>0</v>
      </c>
    </row>
    <row r="38" spans="1:5" hidden="1" x14ac:dyDescent="0.25">
      <c r="A38"/>
      <c r="B38" t="e">
        <f>VLOOKUP(A38, Mats[], 8, 0)</f>
        <v>#N/A</v>
      </c>
      <c r="C38"/>
      <c r="D38" s="8"/>
      <c r="E38" s="8">
        <f t="shared" si="0"/>
        <v>0</v>
      </c>
    </row>
    <row r="39" spans="1:5" hidden="1" x14ac:dyDescent="0.25">
      <c r="A39"/>
      <c r="B39" t="e">
        <f>VLOOKUP(A39, Mats[], 8, 0)</f>
        <v>#N/A</v>
      </c>
      <c r="C39"/>
      <c r="D39" s="8"/>
      <c r="E39" s="8">
        <f t="shared" si="0"/>
        <v>0</v>
      </c>
    </row>
    <row r="40" spans="1:5" hidden="1" x14ac:dyDescent="0.25">
      <c r="A40"/>
      <c r="B40" t="e">
        <f>VLOOKUP(A40, Mats[], 8, 0)</f>
        <v>#N/A</v>
      </c>
      <c r="C40"/>
      <c r="D40" s="8"/>
      <c r="E40" s="8">
        <f t="shared" si="0"/>
        <v>0</v>
      </c>
    </row>
    <row r="41" spans="1:5" hidden="1" x14ac:dyDescent="0.25">
      <c r="A41"/>
      <c r="B41" t="e">
        <f>VLOOKUP(A41, Mats[], 8, 0)</f>
        <v>#N/A</v>
      </c>
      <c r="C41"/>
      <c r="D41" s="8"/>
      <c r="E41" s="8">
        <f t="shared" si="0"/>
        <v>0</v>
      </c>
    </row>
    <row r="42" spans="1:5" hidden="1" x14ac:dyDescent="0.25">
      <c r="A42"/>
      <c r="B42" t="e">
        <f>VLOOKUP(A42, Mats[], 8, 0)</f>
        <v>#N/A</v>
      </c>
      <c r="C42"/>
      <c r="D42" s="8"/>
      <c r="E42" s="8">
        <f t="shared" si="0"/>
        <v>0</v>
      </c>
    </row>
    <row r="43" spans="1:5" hidden="1" x14ac:dyDescent="0.25">
      <c r="A43"/>
      <c r="B43" t="e">
        <f>VLOOKUP(A43, Mats[], 8, 0)</f>
        <v>#N/A</v>
      </c>
      <c r="C43"/>
      <c r="D43" s="8"/>
      <c r="E43" s="8">
        <f t="shared" si="0"/>
        <v>0</v>
      </c>
    </row>
    <row r="44" spans="1:5" hidden="1" x14ac:dyDescent="0.25">
      <c r="A44"/>
      <c r="B44" t="e">
        <f>VLOOKUP(A44, Mats[], 8, 0)</f>
        <v>#N/A</v>
      </c>
      <c r="C44"/>
      <c r="D44" s="8"/>
      <c r="E44" s="8">
        <f t="shared" si="0"/>
        <v>0</v>
      </c>
    </row>
    <row r="45" spans="1:5" hidden="1" x14ac:dyDescent="0.25">
      <c r="A45"/>
      <c r="B45" t="e">
        <f>VLOOKUP(A45, Mats[], 8, 0)</f>
        <v>#N/A</v>
      </c>
      <c r="C45"/>
      <c r="D45" s="8"/>
      <c r="E45" s="8">
        <f t="shared" si="0"/>
        <v>0</v>
      </c>
    </row>
    <row r="46" spans="1:5" hidden="1" x14ac:dyDescent="0.25">
      <c r="A46"/>
      <c r="B46" t="e">
        <f>VLOOKUP(A46, Mats[], 8, 0)</f>
        <v>#N/A</v>
      </c>
      <c r="C46"/>
      <c r="D46" s="8"/>
      <c r="E46" s="8">
        <f t="shared" si="0"/>
        <v>0</v>
      </c>
    </row>
    <row r="47" spans="1:5" hidden="1" x14ac:dyDescent="0.25">
      <c r="A47"/>
      <c r="B47" t="e">
        <f>VLOOKUP(A47, Mats[], 8, 0)</f>
        <v>#N/A</v>
      </c>
      <c r="C47"/>
      <c r="D47" s="8"/>
      <c r="E47" s="8">
        <f t="shared" si="0"/>
        <v>0</v>
      </c>
    </row>
    <row r="48" spans="1:5" hidden="1" x14ac:dyDescent="0.25">
      <c r="A48"/>
      <c r="B48" t="e">
        <f>VLOOKUP(A48, Mats[], 8, 0)</f>
        <v>#N/A</v>
      </c>
      <c r="C48"/>
      <c r="D48" s="8"/>
      <c r="E48" s="8">
        <f t="shared" si="0"/>
        <v>0</v>
      </c>
    </row>
    <row r="49" spans="1:5" hidden="1" x14ac:dyDescent="0.25">
      <c r="A49"/>
      <c r="B49" t="e">
        <f>VLOOKUP(A49, Mats[], 8, 0)</f>
        <v>#N/A</v>
      </c>
      <c r="C49"/>
      <c r="D49" s="8"/>
      <c r="E49" s="8">
        <f t="shared" si="0"/>
        <v>0</v>
      </c>
    </row>
    <row r="50" spans="1:5" hidden="1" x14ac:dyDescent="0.25">
      <c r="A50"/>
      <c r="B50" t="e">
        <f>VLOOKUP(A50, Mats[], 8, 0)</f>
        <v>#N/A</v>
      </c>
      <c r="C50"/>
      <c r="D50" s="8"/>
      <c r="E50" s="8">
        <f t="shared" si="0"/>
        <v>0</v>
      </c>
    </row>
    <row r="51" spans="1:5" hidden="1" x14ac:dyDescent="0.25">
      <c r="A51"/>
      <c r="B51" t="e">
        <f>VLOOKUP(A51, Mats[], 8, 0)</f>
        <v>#N/A</v>
      </c>
      <c r="C51"/>
      <c r="D51" s="8"/>
      <c r="E51" s="8">
        <f t="shared" si="0"/>
        <v>0</v>
      </c>
    </row>
    <row r="52" spans="1:5" hidden="1" x14ac:dyDescent="0.25">
      <c r="A52"/>
      <c r="B52" t="e">
        <f>VLOOKUP(A52, Mats[], 8, 0)</f>
        <v>#N/A</v>
      </c>
      <c r="C52"/>
      <c r="D52" s="8"/>
      <c r="E52" s="8">
        <f t="shared" si="0"/>
        <v>0</v>
      </c>
    </row>
    <row r="53" spans="1:5" hidden="1" x14ac:dyDescent="0.25">
      <c r="A53"/>
      <c r="B53" t="e">
        <f>VLOOKUP(A53, Mats[], 8, 0)</f>
        <v>#N/A</v>
      </c>
      <c r="C53"/>
      <c r="D53" s="8"/>
      <c r="E53" s="8">
        <f t="shared" si="0"/>
        <v>0</v>
      </c>
    </row>
    <row r="54" spans="1:5" hidden="1" x14ac:dyDescent="0.25">
      <c r="A54"/>
      <c r="B54" t="e">
        <f>VLOOKUP(A54, Mats[], 8, 0)</f>
        <v>#N/A</v>
      </c>
      <c r="C54"/>
      <c r="D54" s="8"/>
      <c r="E54" s="8">
        <f t="shared" si="0"/>
        <v>0</v>
      </c>
    </row>
    <row r="55" spans="1:5" hidden="1" x14ac:dyDescent="0.25">
      <c r="A55"/>
      <c r="B55" t="e">
        <f>VLOOKUP(A55, Mats[], 8, 0)</f>
        <v>#N/A</v>
      </c>
      <c r="C55"/>
      <c r="D55" s="8"/>
      <c r="E55" s="8">
        <f t="shared" si="0"/>
        <v>0</v>
      </c>
    </row>
    <row r="56" spans="1:5" hidden="1" x14ac:dyDescent="0.25">
      <c r="A56"/>
      <c r="B56" t="e">
        <f>VLOOKUP(A56, Mats[], 8, 0)</f>
        <v>#N/A</v>
      </c>
      <c r="C56"/>
      <c r="D56" s="8"/>
      <c r="E56" s="8">
        <f t="shared" si="0"/>
        <v>0</v>
      </c>
    </row>
    <row r="57" spans="1:5" hidden="1" x14ac:dyDescent="0.25">
      <c r="A57"/>
      <c r="B57" t="e">
        <f>VLOOKUP(A57, Mats[], 8, 0)</f>
        <v>#N/A</v>
      </c>
      <c r="C57"/>
      <c r="D57" s="8"/>
      <c r="E57" s="8">
        <f t="shared" si="0"/>
        <v>0</v>
      </c>
    </row>
    <row r="58" spans="1:5" hidden="1" x14ac:dyDescent="0.25">
      <c r="A58"/>
      <c r="B58" t="e">
        <f>VLOOKUP(A58, Mats[], 8, 0)</f>
        <v>#N/A</v>
      </c>
      <c r="C58"/>
      <c r="D58" s="8"/>
      <c r="E58" s="8">
        <f t="shared" si="0"/>
        <v>0</v>
      </c>
    </row>
    <row r="59" spans="1:5" hidden="1" x14ac:dyDescent="0.25">
      <c r="A59"/>
      <c r="B59" t="e">
        <f>VLOOKUP(A59, Mats[], 8, 0)</f>
        <v>#N/A</v>
      </c>
      <c r="C59"/>
      <c r="D59" s="8"/>
      <c r="E59" s="8">
        <f t="shared" si="0"/>
        <v>0</v>
      </c>
    </row>
    <row r="60" spans="1:5" hidden="1" x14ac:dyDescent="0.25">
      <c r="A60"/>
      <c r="B60" t="e">
        <f>VLOOKUP(A60, Mats[], 8, 0)</f>
        <v>#N/A</v>
      </c>
      <c r="C60"/>
      <c r="D60" s="8"/>
      <c r="E60" s="8">
        <f t="shared" si="0"/>
        <v>0</v>
      </c>
    </row>
    <row r="61" spans="1:5" hidden="1" x14ac:dyDescent="0.25">
      <c r="A61"/>
      <c r="B61" t="e">
        <f>VLOOKUP(A61, Mats[], 8, 0)</f>
        <v>#N/A</v>
      </c>
      <c r="C61"/>
      <c r="D61" s="8"/>
      <c r="E61" s="8">
        <f t="shared" si="0"/>
        <v>0</v>
      </c>
    </row>
    <row r="62" spans="1:5" hidden="1" x14ac:dyDescent="0.25">
      <c r="A62"/>
      <c r="B62" t="e">
        <f>VLOOKUP(A62, Mats[], 8, 0)</f>
        <v>#N/A</v>
      </c>
      <c r="C62"/>
      <c r="D62" s="8"/>
      <c r="E62" s="8">
        <f t="shared" si="0"/>
        <v>0</v>
      </c>
    </row>
    <row r="63" spans="1:5" hidden="1" x14ac:dyDescent="0.25">
      <c r="A63"/>
      <c r="B63" t="e">
        <f>VLOOKUP(A63, Mats[], 8, 0)</f>
        <v>#N/A</v>
      </c>
      <c r="C63"/>
      <c r="D63" s="8"/>
      <c r="E63" s="8">
        <f t="shared" si="0"/>
        <v>0</v>
      </c>
    </row>
    <row r="64" spans="1:5" hidden="1" x14ac:dyDescent="0.25">
      <c r="A64"/>
      <c r="B64" t="e">
        <f>VLOOKUP(A64, Mats[], 8, 0)</f>
        <v>#N/A</v>
      </c>
      <c r="C64"/>
      <c r="D64" s="8"/>
      <c r="E64" s="8">
        <f t="shared" si="0"/>
        <v>0</v>
      </c>
    </row>
    <row r="65" spans="1:5" hidden="1" x14ac:dyDescent="0.25">
      <c r="A65"/>
      <c r="B65" t="e">
        <f>VLOOKUP(A65, Mats[], 8, 0)</f>
        <v>#N/A</v>
      </c>
      <c r="C65"/>
      <c r="D65" s="8"/>
      <c r="E65" s="8">
        <f t="shared" si="0"/>
        <v>0</v>
      </c>
    </row>
    <row r="66" spans="1:5" hidden="1" x14ac:dyDescent="0.25">
      <c r="A66"/>
      <c r="B66" t="e">
        <f>VLOOKUP(A66, Mats[], 8, 0)</f>
        <v>#N/A</v>
      </c>
      <c r="C66"/>
      <c r="D66" s="8"/>
      <c r="E66" s="8">
        <f t="shared" si="0"/>
        <v>0</v>
      </c>
    </row>
    <row r="67" spans="1:5" hidden="1" x14ac:dyDescent="0.25">
      <c r="A67"/>
      <c r="B67" t="e">
        <f>VLOOKUP(A67, Mats[], 8, 0)</f>
        <v>#N/A</v>
      </c>
      <c r="C67"/>
      <c r="D67" s="8"/>
      <c r="E67" s="8">
        <f t="shared" ref="E67:E130" si="1">IFERROR( IF( $I$1 = 0, 0, ROUNDUP( C67/B67, 0)*B67 - D67), 0)</f>
        <v>0</v>
      </c>
    </row>
    <row r="68" spans="1:5" hidden="1" x14ac:dyDescent="0.25">
      <c r="A68"/>
      <c r="B68" t="e">
        <f>VLOOKUP(A68, Mats[], 8, 0)</f>
        <v>#N/A</v>
      </c>
      <c r="C68"/>
      <c r="D68" s="8"/>
      <c r="E68" s="8">
        <f t="shared" si="1"/>
        <v>0</v>
      </c>
    </row>
    <row r="69" spans="1:5" hidden="1" x14ac:dyDescent="0.25">
      <c r="A69"/>
      <c r="B69" t="e">
        <f>VLOOKUP(A69, Mats[], 8, 0)</f>
        <v>#N/A</v>
      </c>
      <c r="C69"/>
      <c r="D69" s="8"/>
      <c r="E69" s="8">
        <f t="shared" si="1"/>
        <v>0</v>
      </c>
    </row>
    <row r="70" spans="1:5" hidden="1" x14ac:dyDescent="0.25">
      <c r="A70"/>
      <c r="B70" t="e">
        <f>VLOOKUP(A70, Mats[], 8, 0)</f>
        <v>#N/A</v>
      </c>
      <c r="C70"/>
      <c r="D70" s="8"/>
      <c r="E70" s="8">
        <f t="shared" si="1"/>
        <v>0</v>
      </c>
    </row>
    <row r="71" spans="1:5" hidden="1" x14ac:dyDescent="0.25">
      <c r="A71"/>
      <c r="B71" t="e">
        <f>VLOOKUP(A71, Mats[], 8, 0)</f>
        <v>#N/A</v>
      </c>
      <c r="C71"/>
      <c r="D71" s="8"/>
      <c r="E71" s="8">
        <f t="shared" si="1"/>
        <v>0</v>
      </c>
    </row>
    <row r="72" spans="1:5" hidden="1" x14ac:dyDescent="0.25">
      <c r="A72"/>
      <c r="B72" t="e">
        <f>VLOOKUP(A72, Mats[], 8, 0)</f>
        <v>#N/A</v>
      </c>
      <c r="C72"/>
      <c r="D72" s="8"/>
      <c r="E72" s="8">
        <f t="shared" si="1"/>
        <v>0</v>
      </c>
    </row>
    <row r="73" spans="1:5" hidden="1" x14ac:dyDescent="0.25">
      <c r="A73"/>
      <c r="B73" t="e">
        <f>VLOOKUP(A73, Mats[], 8, 0)</f>
        <v>#N/A</v>
      </c>
      <c r="C73"/>
      <c r="D73" s="8"/>
      <c r="E73" s="8">
        <f t="shared" si="1"/>
        <v>0</v>
      </c>
    </row>
    <row r="74" spans="1:5" hidden="1" x14ac:dyDescent="0.25">
      <c r="A74"/>
      <c r="B74" t="e">
        <f>VLOOKUP(A74, Mats[], 8, 0)</f>
        <v>#N/A</v>
      </c>
      <c r="C74"/>
      <c r="D74" s="8"/>
      <c r="E74" s="8">
        <f t="shared" si="1"/>
        <v>0</v>
      </c>
    </row>
    <row r="75" spans="1:5" hidden="1" x14ac:dyDescent="0.25">
      <c r="A75"/>
      <c r="B75" t="e">
        <f>VLOOKUP(A75, Mats[], 8, 0)</f>
        <v>#N/A</v>
      </c>
      <c r="C75"/>
      <c r="D75" s="8"/>
      <c r="E75" s="8">
        <f t="shared" si="1"/>
        <v>0</v>
      </c>
    </row>
    <row r="76" spans="1:5" hidden="1" x14ac:dyDescent="0.25">
      <c r="A76"/>
      <c r="B76" t="e">
        <f>VLOOKUP(A76, Mats[], 8, 0)</f>
        <v>#N/A</v>
      </c>
      <c r="C76"/>
      <c r="D76" s="8"/>
      <c r="E76" s="8">
        <f t="shared" si="1"/>
        <v>0</v>
      </c>
    </row>
    <row r="77" spans="1:5" hidden="1" x14ac:dyDescent="0.25">
      <c r="A77"/>
      <c r="B77" t="e">
        <f>VLOOKUP(A77, Mats[], 8, 0)</f>
        <v>#N/A</v>
      </c>
      <c r="C77"/>
      <c r="D77" s="8"/>
      <c r="E77" s="8">
        <f t="shared" si="1"/>
        <v>0</v>
      </c>
    </row>
    <row r="78" spans="1:5" hidden="1" x14ac:dyDescent="0.25">
      <c r="A78"/>
      <c r="B78" t="e">
        <f>VLOOKUP(A78, Mats[], 8, 0)</f>
        <v>#N/A</v>
      </c>
      <c r="C78"/>
      <c r="D78" s="8"/>
      <c r="E78" s="8">
        <f t="shared" si="1"/>
        <v>0</v>
      </c>
    </row>
    <row r="79" spans="1:5" hidden="1" x14ac:dyDescent="0.25">
      <c r="A79"/>
      <c r="B79" t="e">
        <f>VLOOKUP(A79, Mats[], 8, 0)</f>
        <v>#N/A</v>
      </c>
      <c r="C79"/>
      <c r="D79" s="8"/>
      <c r="E79" s="8">
        <f t="shared" si="1"/>
        <v>0</v>
      </c>
    </row>
    <row r="80" spans="1:5" hidden="1" x14ac:dyDescent="0.25">
      <c r="A80"/>
      <c r="B80" t="e">
        <f>VLOOKUP(A80, Mats[], 8, 0)</f>
        <v>#N/A</v>
      </c>
      <c r="C80"/>
      <c r="D80" s="8"/>
      <c r="E80" s="8">
        <f t="shared" si="1"/>
        <v>0</v>
      </c>
    </row>
    <row r="81" spans="1:5" hidden="1" x14ac:dyDescent="0.25">
      <c r="A81"/>
      <c r="B81" t="e">
        <f>VLOOKUP(A81, Mats[], 8, 0)</f>
        <v>#N/A</v>
      </c>
      <c r="C81"/>
      <c r="D81" s="8"/>
      <c r="E81" s="8">
        <f t="shared" si="1"/>
        <v>0</v>
      </c>
    </row>
    <row r="82" spans="1:5" hidden="1" x14ac:dyDescent="0.25">
      <c r="A82"/>
      <c r="B82" t="e">
        <f>VLOOKUP(A82, Mats[], 8, 0)</f>
        <v>#N/A</v>
      </c>
      <c r="C82"/>
      <c r="D82" s="8"/>
      <c r="E82" s="8">
        <f t="shared" si="1"/>
        <v>0</v>
      </c>
    </row>
    <row r="83" spans="1:5" hidden="1" x14ac:dyDescent="0.25">
      <c r="A83"/>
      <c r="B83" t="e">
        <f>VLOOKUP(A83, Mats[], 8, 0)</f>
        <v>#N/A</v>
      </c>
      <c r="C83"/>
      <c r="D83" s="8"/>
      <c r="E83" s="8">
        <f t="shared" si="1"/>
        <v>0</v>
      </c>
    </row>
    <row r="84" spans="1:5" hidden="1" x14ac:dyDescent="0.25">
      <c r="A84"/>
      <c r="B84" t="e">
        <f>VLOOKUP(A84, Mats[], 8, 0)</f>
        <v>#N/A</v>
      </c>
      <c r="C84"/>
      <c r="D84" s="8"/>
      <c r="E84" s="8">
        <f t="shared" si="1"/>
        <v>0</v>
      </c>
    </row>
    <row r="85" spans="1:5" hidden="1" x14ac:dyDescent="0.25">
      <c r="A85"/>
      <c r="B85" t="e">
        <f>VLOOKUP(A85, Mats[], 8, 0)</f>
        <v>#N/A</v>
      </c>
      <c r="C85"/>
      <c r="D85" s="8"/>
      <c r="E85" s="8">
        <f t="shared" si="1"/>
        <v>0</v>
      </c>
    </row>
    <row r="86" spans="1:5" hidden="1" x14ac:dyDescent="0.25">
      <c r="A86"/>
      <c r="B86" t="e">
        <f>VLOOKUP(A86, Mats[], 8, 0)</f>
        <v>#N/A</v>
      </c>
      <c r="C86"/>
      <c r="D86" s="8"/>
      <c r="E86" s="8">
        <f t="shared" si="1"/>
        <v>0</v>
      </c>
    </row>
    <row r="87" spans="1:5" hidden="1" x14ac:dyDescent="0.25">
      <c r="A87"/>
      <c r="B87" t="e">
        <f>VLOOKUP(A87, Mats[], 8, 0)</f>
        <v>#N/A</v>
      </c>
      <c r="C87"/>
      <c r="D87" s="8"/>
      <c r="E87" s="8">
        <f t="shared" si="1"/>
        <v>0</v>
      </c>
    </row>
    <row r="88" spans="1:5" hidden="1" x14ac:dyDescent="0.25">
      <c r="A88"/>
      <c r="B88" t="e">
        <f>VLOOKUP(A88, Mats[], 8, 0)</f>
        <v>#N/A</v>
      </c>
      <c r="C88"/>
      <c r="D88" s="8"/>
      <c r="E88" s="8">
        <f t="shared" si="1"/>
        <v>0</v>
      </c>
    </row>
    <row r="89" spans="1:5" hidden="1" x14ac:dyDescent="0.25">
      <c r="A89"/>
      <c r="B89" t="e">
        <f>VLOOKUP(A89, Mats[], 8, 0)</f>
        <v>#N/A</v>
      </c>
      <c r="C89"/>
      <c r="D89" s="8"/>
      <c r="E89" s="8">
        <f t="shared" si="1"/>
        <v>0</v>
      </c>
    </row>
    <row r="90" spans="1:5" hidden="1" x14ac:dyDescent="0.25">
      <c r="A90"/>
      <c r="B90" t="e">
        <f>VLOOKUP(A90, Mats[], 8, 0)</f>
        <v>#N/A</v>
      </c>
      <c r="C90"/>
      <c r="D90" s="8"/>
      <c r="E90" s="8">
        <f t="shared" si="1"/>
        <v>0</v>
      </c>
    </row>
    <row r="91" spans="1:5" hidden="1" x14ac:dyDescent="0.25">
      <c r="A91"/>
      <c r="B91" t="e">
        <f>VLOOKUP(A91, Mats[], 8, 0)</f>
        <v>#N/A</v>
      </c>
      <c r="C91"/>
      <c r="D91" s="8"/>
      <c r="E91" s="8">
        <f t="shared" si="1"/>
        <v>0</v>
      </c>
    </row>
    <row r="92" spans="1:5" hidden="1" x14ac:dyDescent="0.25">
      <c r="A92"/>
      <c r="B92" t="e">
        <f>VLOOKUP(A92, Mats[], 8, 0)</f>
        <v>#N/A</v>
      </c>
      <c r="C92"/>
      <c r="D92" s="8"/>
      <c r="E92" s="8">
        <f t="shared" si="1"/>
        <v>0</v>
      </c>
    </row>
    <row r="93" spans="1:5" hidden="1" x14ac:dyDescent="0.25">
      <c r="A93"/>
      <c r="B93" t="e">
        <f>VLOOKUP(A93, Mats[], 8, 0)</f>
        <v>#N/A</v>
      </c>
      <c r="C93"/>
      <c r="D93" s="8"/>
      <c r="E93" s="8">
        <f t="shared" si="1"/>
        <v>0</v>
      </c>
    </row>
    <row r="94" spans="1:5" hidden="1" x14ac:dyDescent="0.25">
      <c r="A94"/>
      <c r="B94" t="e">
        <f>VLOOKUP(A94, Mats[], 8, 0)</f>
        <v>#N/A</v>
      </c>
      <c r="C94"/>
      <c r="D94" s="8"/>
      <c r="E94" s="8">
        <f t="shared" si="1"/>
        <v>0</v>
      </c>
    </row>
    <row r="95" spans="1:5" hidden="1" x14ac:dyDescent="0.25">
      <c r="A95"/>
      <c r="B95" t="e">
        <f>VLOOKUP(A95, Mats[], 8, 0)</f>
        <v>#N/A</v>
      </c>
      <c r="C95"/>
      <c r="D95" s="8"/>
      <c r="E95" s="8">
        <f t="shared" si="1"/>
        <v>0</v>
      </c>
    </row>
    <row r="96" spans="1:5" hidden="1" x14ac:dyDescent="0.25">
      <c r="A96"/>
      <c r="B96" t="e">
        <f>VLOOKUP(A96, Mats[], 8, 0)</f>
        <v>#N/A</v>
      </c>
      <c r="C96"/>
      <c r="D96" s="8"/>
      <c r="E96" s="8">
        <f t="shared" si="1"/>
        <v>0</v>
      </c>
    </row>
    <row r="97" spans="1:5" hidden="1" x14ac:dyDescent="0.25">
      <c r="A97"/>
      <c r="B97" t="e">
        <f>VLOOKUP(A97, Mats[], 8, 0)</f>
        <v>#N/A</v>
      </c>
      <c r="C97"/>
      <c r="D97" s="8"/>
      <c r="E97" s="8">
        <f t="shared" si="1"/>
        <v>0</v>
      </c>
    </row>
    <row r="98" spans="1:5" hidden="1" x14ac:dyDescent="0.25">
      <c r="A98"/>
      <c r="B98" t="e">
        <f>VLOOKUP(A98, Mats[], 8, 0)</f>
        <v>#N/A</v>
      </c>
      <c r="C98"/>
      <c r="D98" s="8"/>
      <c r="E98" s="8">
        <f t="shared" si="1"/>
        <v>0</v>
      </c>
    </row>
    <row r="99" spans="1:5" hidden="1" x14ac:dyDescent="0.25">
      <c r="A99"/>
      <c r="B99" t="e">
        <f>VLOOKUP(A99, Mats[], 8, 0)</f>
        <v>#N/A</v>
      </c>
      <c r="C99"/>
      <c r="D99" s="8"/>
      <c r="E99" s="8">
        <f t="shared" si="1"/>
        <v>0</v>
      </c>
    </row>
    <row r="100" spans="1:5" hidden="1" x14ac:dyDescent="0.25">
      <c r="A100"/>
      <c r="B100" t="e">
        <f>VLOOKUP(A100, Mats[], 8, 0)</f>
        <v>#N/A</v>
      </c>
      <c r="C100"/>
      <c r="D100" s="8"/>
      <c r="E100" s="8">
        <f t="shared" si="1"/>
        <v>0</v>
      </c>
    </row>
    <row r="101" spans="1:5" hidden="1" x14ac:dyDescent="0.25">
      <c r="A101"/>
      <c r="B101" t="e">
        <f>VLOOKUP(A101, Mats[], 8, 0)</f>
        <v>#N/A</v>
      </c>
      <c r="C101"/>
      <c r="D101" s="8"/>
      <c r="E101" s="8">
        <f t="shared" si="1"/>
        <v>0</v>
      </c>
    </row>
    <row r="102" spans="1:5" hidden="1" x14ac:dyDescent="0.25">
      <c r="A102"/>
      <c r="B102" t="e">
        <f>VLOOKUP(A102, Mats[], 8, 0)</f>
        <v>#N/A</v>
      </c>
      <c r="C102"/>
      <c r="D102" s="8"/>
      <c r="E102" s="8">
        <f t="shared" si="1"/>
        <v>0</v>
      </c>
    </row>
    <row r="103" spans="1:5" hidden="1" x14ac:dyDescent="0.25">
      <c r="A103"/>
      <c r="B103" t="e">
        <f>VLOOKUP(A103, Mats[], 8, 0)</f>
        <v>#N/A</v>
      </c>
      <c r="C103"/>
      <c r="D103" s="8"/>
      <c r="E103" s="8">
        <f t="shared" si="1"/>
        <v>0</v>
      </c>
    </row>
    <row r="104" spans="1:5" hidden="1" x14ac:dyDescent="0.25">
      <c r="A104"/>
      <c r="B104" t="e">
        <f>VLOOKUP(A104, Mats[], 8, 0)</f>
        <v>#N/A</v>
      </c>
      <c r="C104"/>
      <c r="D104" s="8"/>
      <c r="E104" s="8">
        <f t="shared" si="1"/>
        <v>0</v>
      </c>
    </row>
    <row r="105" spans="1:5" hidden="1" x14ac:dyDescent="0.25">
      <c r="A105"/>
      <c r="B105" t="e">
        <f>VLOOKUP(A105, Mats[], 8, 0)</f>
        <v>#N/A</v>
      </c>
      <c r="C105"/>
      <c r="D105" s="8"/>
      <c r="E105" s="8">
        <f t="shared" si="1"/>
        <v>0</v>
      </c>
    </row>
    <row r="106" spans="1:5" hidden="1" x14ac:dyDescent="0.25">
      <c r="A106"/>
      <c r="B106" t="e">
        <f>VLOOKUP(A106, Mats[], 8, 0)</f>
        <v>#N/A</v>
      </c>
      <c r="C106"/>
      <c r="D106" s="8"/>
      <c r="E106" s="8">
        <f t="shared" si="1"/>
        <v>0</v>
      </c>
    </row>
    <row r="107" spans="1:5" hidden="1" x14ac:dyDescent="0.25">
      <c r="A107"/>
      <c r="B107" t="e">
        <f>VLOOKUP(A107, Mats[], 8, 0)</f>
        <v>#N/A</v>
      </c>
      <c r="C107"/>
      <c r="D107" s="8"/>
      <c r="E107" s="8">
        <f t="shared" si="1"/>
        <v>0</v>
      </c>
    </row>
    <row r="108" spans="1:5" hidden="1" x14ac:dyDescent="0.25">
      <c r="A108"/>
      <c r="B108" t="e">
        <f>VLOOKUP(A108, Mats[], 8, 0)</f>
        <v>#N/A</v>
      </c>
      <c r="C108"/>
      <c r="D108" s="8"/>
      <c r="E108" s="8">
        <f t="shared" si="1"/>
        <v>0</v>
      </c>
    </row>
    <row r="109" spans="1:5" hidden="1" x14ac:dyDescent="0.25">
      <c r="A109"/>
      <c r="B109" t="e">
        <f>VLOOKUP(A109, Mats[], 8, 0)</f>
        <v>#N/A</v>
      </c>
      <c r="C109"/>
      <c r="D109" s="8"/>
      <c r="E109" s="8">
        <f t="shared" si="1"/>
        <v>0</v>
      </c>
    </row>
    <row r="110" spans="1:5" hidden="1" x14ac:dyDescent="0.25">
      <c r="A110"/>
      <c r="B110" t="e">
        <f>VLOOKUP(A110, Mats[], 8, 0)</f>
        <v>#N/A</v>
      </c>
      <c r="C110"/>
      <c r="D110" s="8"/>
      <c r="E110" s="8">
        <f t="shared" si="1"/>
        <v>0</v>
      </c>
    </row>
    <row r="111" spans="1:5" hidden="1" x14ac:dyDescent="0.25">
      <c r="A111"/>
      <c r="B111" t="e">
        <f>VLOOKUP(A111, Mats[], 8, 0)</f>
        <v>#N/A</v>
      </c>
      <c r="C111"/>
      <c r="D111" s="8"/>
      <c r="E111" s="8">
        <f t="shared" si="1"/>
        <v>0</v>
      </c>
    </row>
    <row r="112" spans="1:5" hidden="1" x14ac:dyDescent="0.25">
      <c r="A112"/>
      <c r="B112" t="e">
        <f>VLOOKUP(A112, Mats[], 8, 0)</f>
        <v>#N/A</v>
      </c>
      <c r="C112"/>
      <c r="D112" s="8"/>
      <c r="E112" s="8">
        <f t="shared" si="1"/>
        <v>0</v>
      </c>
    </row>
    <row r="113" spans="1:5" hidden="1" x14ac:dyDescent="0.25">
      <c r="A113"/>
      <c r="B113" t="e">
        <f>VLOOKUP(A113, Mats[], 8, 0)</f>
        <v>#N/A</v>
      </c>
      <c r="C113"/>
      <c r="D113" s="8"/>
      <c r="E113" s="8">
        <f t="shared" si="1"/>
        <v>0</v>
      </c>
    </row>
    <row r="114" spans="1:5" hidden="1" x14ac:dyDescent="0.25">
      <c r="A114"/>
      <c r="B114" t="e">
        <f>VLOOKUP(A114, Mats[], 8, 0)</f>
        <v>#N/A</v>
      </c>
      <c r="C114"/>
      <c r="D114" s="8"/>
      <c r="E114" s="8">
        <f t="shared" si="1"/>
        <v>0</v>
      </c>
    </row>
    <row r="115" spans="1:5" hidden="1" x14ac:dyDescent="0.25">
      <c r="A115"/>
      <c r="B115" t="e">
        <f>VLOOKUP(A115, Mats[], 8, 0)</f>
        <v>#N/A</v>
      </c>
      <c r="C115"/>
      <c r="D115" s="8"/>
      <c r="E115" s="8">
        <f t="shared" si="1"/>
        <v>0</v>
      </c>
    </row>
    <row r="116" spans="1:5" hidden="1" x14ac:dyDescent="0.25">
      <c r="A116"/>
      <c r="B116" t="e">
        <f>VLOOKUP(A116, Mats[], 8, 0)</f>
        <v>#N/A</v>
      </c>
      <c r="C116"/>
      <c r="D116" s="8"/>
      <c r="E116" s="8">
        <f t="shared" si="1"/>
        <v>0</v>
      </c>
    </row>
    <row r="117" spans="1:5" hidden="1" x14ac:dyDescent="0.25">
      <c r="A117"/>
      <c r="B117" t="e">
        <f>VLOOKUP(A117, Mats[], 8, 0)</f>
        <v>#N/A</v>
      </c>
      <c r="C117"/>
      <c r="D117" s="8"/>
      <c r="E117" s="8">
        <f t="shared" si="1"/>
        <v>0</v>
      </c>
    </row>
    <row r="118" spans="1:5" hidden="1" x14ac:dyDescent="0.25">
      <c r="A118"/>
      <c r="B118" t="e">
        <f>VLOOKUP(A118, Mats[], 8, 0)</f>
        <v>#N/A</v>
      </c>
      <c r="C118"/>
      <c r="D118" s="8"/>
      <c r="E118" s="8">
        <f t="shared" si="1"/>
        <v>0</v>
      </c>
    </row>
    <row r="119" spans="1:5" hidden="1" x14ac:dyDescent="0.25">
      <c r="A119"/>
      <c r="B119" t="e">
        <f>VLOOKUP(A119, Mats[], 8, 0)</f>
        <v>#N/A</v>
      </c>
      <c r="C119"/>
      <c r="D119" s="8"/>
      <c r="E119" s="8">
        <f t="shared" si="1"/>
        <v>0</v>
      </c>
    </row>
    <row r="120" spans="1:5" hidden="1" x14ac:dyDescent="0.25">
      <c r="A120"/>
      <c r="B120" t="e">
        <f>VLOOKUP(A120, Mats[], 8, 0)</f>
        <v>#N/A</v>
      </c>
      <c r="C120"/>
      <c r="D120" s="8"/>
      <c r="E120" s="8">
        <f t="shared" si="1"/>
        <v>0</v>
      </c>
    </row>
    <row r="121" spans="1:5" hidden="1" x14ac:dyDescent="0.25">
      <c r="A121"/>
      <c r="B121" t="e">
        <f>VLOOKUP(A121, Mats[], 8, 0)</f>
        <v>#N/A</v>
      </c>
      <c r="C121"/>
      <c r="D121" s="8"/>
      <c r="E121" s="8">
        <f t="shared" si="1"/>
        <v>0</v>
      </c>
    </row>
    <row r="122" spans="1:5" hidden="1" x14ac:dyDescent="0.25">
      <c r="A122"/>
      <c r="B122" t="e">
        <f>VLOOKUP(A122, Mats[], 8, 0)</f>
        <v>#N/A</v>
      </c>
      <c r="C122"/>
      <c r="D122" s="8"/>
      <c r="E122" s="8">
        <f t="shared" si="1"/>
        <v>0</v>
      </c>
    </row>
    <row r="123" spans="1:5" hidden="1" x14ac:dyDescent="0.25">
      <c r="A123"/>
      <c r="B123" t="e">
        <f>VLOOKUP(A123, Mats[], 8, 0)</f>
        <v>#N/A</v>
      </c>
      <c r="C123"/>
      <c r="D123" s="8"/>
      <c r="E123" s="8">
        <f t="shared" si="1"/>
        <v>0</v>
      </c>
    </row>
    <row r="124" spans="1:5" hidden="1" x14ac:dyDescent="0.25">
      <c r="A124"/>
      <c r="B124" t="e">
        <f>VLOOKUP(A124, Mats[], 8, 0)</f>
        <v>#N/A</v>
      </c>
      <c r="C124"/>
      <c r="D124" s="8"/>
      <c r="E124" s="8">
        <f t="shared" si="1"/>
        <v>0</v>
      </c>
    </row>
    <row r="125" spans="1:5" hidden="1" x14ac:dyDescent="0.25">
      <c r="A125"/>
      <c r="B125" t="e">
        <f>VLOOKUP(A125, Mats[], 8, 0)</f>
        <v>#N/A</v>
      </c>
      <c r="C125"/>
      <c r="D125" s="8"/>
      <c r="E125" s="8">
        <f t="shared" si="1"/>
        <v>0</v>
      </c>
    </row>
    <row r="126" spans="1:5" hidden="1" x14ac:dyDescent="0.25">
      <c r="A126"/>
      <c r="B126" t="e">
        <f>VLOOKUP(A126, Mats[], 8, 0)</f>
        <v>#N/A</v>
      </c>
      <c r="C126"/>
      <c r="D126" s="8"/>
      <c r="E126" s="8">
        <f t="shared" si="1"/>
        <v>0</v>
      </c>
    </row>
    <row r="127" spans="1:5" hidden="1" x14ac:dyDescent="0.25">
      <c r="A127"/>
      <c r="B127" t="e">
        <f>VLOOKUP(A127, Mats[], 8, 0)</f>
        <v>#N/A</v>
      </c>
      <c r="C127"/>
      <c r="D127" s="8"/>
      <c r="E127" s="8">
        <f t="shared" si="1"/>
        <v>0</v>
      </c>
    </row>
    <row r="128" spans="1:5" hidden="1" x14ac:dyDescent="0.25">
      <c r="A128"/>
      <c r="B128" t="e">
        <f>VLOOKUP(A128, Mats[], 8, 0)</f>
        <v>#N/A</v>
      </c>
      <c r="C128"/>
      <c r="D128" s="8"/>
      <c r="E128" s="8">
        <f t="shared" si="1"/>
        <v>0</v>
      </c>
    </row>
    <row r="129" spans="1:5" hidden="1" x14ac:dyDescent="0.25">
      <c r="A129"/>
      <c r="B129" t="e">
        <f>VLOOKUP(A129, Mats[], 8, 0)</f>
        <v>#N/A</v>
      </c>
      <c r="C129"/>
      <c r="D129" s="8"/>
      <c r="E129" s="8">
        <f t="shared" si="1"/>
        <v>0</v>
      </c>
    </row>
    <row r="130" spans="1:5" hidden="1" x14ac:dyDescent="0.25">
      <c r="A130"/>
      <c r="B130" t="e">
        <f>VLOOKUP(A130, Mats[], 8, 0)</f>
        <v>#N/A</v>
      </c>
      <c r="C130"/>
      <c r="D130" s="8"/>
      <c r="E130" s="8">
        <f t="shared" si="1"/>
        <v>0</v>
      </c>
    </row>
    <row r="131" spans="1:5" hidden="1" x14ac:dyDescent="0.25">
      <c r="A131"/>
      <c r="B131" t="e">
        <f>VLOOKUP(A131, Mats[], 8, 0)</f>
        <v>#N/A</v>
      </c>
      <c r="C131"/>
      <c r="D131" s="8"/>
      <c r="E131" s="8">
        <f t="shared" ref="E131:E194" si="2">IFERROR( IF( $I$1 = 0, 0, ROUNDUP( C131/B131, 0)*B131 - D131), 0)</f>
        <v>0</v>
      </c>
    </row>
    <row r="132" spans="1:5" hidden="1" x14ac:dyDescent="0.25">
      <c r="A132"/>
      <c r="B132" t="e">
        <f>VLOOKUP(A132, Mats[], 8, 0)</f>
        <v>#N/A</v>
      </c>
      <c r="C132"/>
      <c r="D132" s="8"/>
      <c r="E132" s="8">
        <f t="shared" si="2"/>
        <v>0</v>
      </c>
    </row>
    <row r="133" spans="1:5" hidden="1" x14ac:dyDescent="0.25">
      <c r="A133"/>
      <c r="B133" t="e">
        <f>VLOOKUP(A133, Mats[], 8, 0)</f>
        <v>#N/A</v>
      </c>
      <c r="C133"/>
      <c r="D133" s="8"/>
      <c r="E133" s="8">
        <f t="shared" si="2"/>
        <v>0</v>
      </c>
    </row>
    <row r="134" spans="1:5" hidden="1" x14ac:dyDescent="0.25">
      <c r="A134"/>
      <c r="B134" t="e">
        <f>VLOOKUP(A134, Mats[], 8, 0)</f>
        <v>#N/A</v>
      </c>
      <c r="C134"/>
      <c r="D134" s="8"/>
      <c r="E134" s="8">
        <f t="shared" si="2"/>
        <v>0</v>
      </c>
    </row>
    <row r="135" spans="1:5" hidden="1" x14ac:dyDescent="0.25">
      <c r="A135"/>
      <c r="B135" t="e">
        <f>VLOOKUP(A135, Mats[], 8, 0)</f>
        <v>#N/A</v>
      </c>
      <c r="C135"/>
      <c r="D135" s="8"/>
      <c r="E135" s="8">
        <f t="shared" si="2"/>
        <v>0</v>
      </c>
    </row>
    <row r="136" spans="1:5" hidden="1" x14ac:dyDescent="0.25">
      <c r="A136"/>
      <c r="B136" t="e">
        <f>VLOOKUP(A136, Mats[], 8, 0)</f>
        <v>#N/A</v>
      </c>
      <c r="C136"/>
      <c r="D136" s="8"/>
      <c r="E136" s="8">
        <f t="shared" si="2"/>
        <v>0</v>
      </c>
    </row>
    <row r="137" spans="1:5" hidden="1" x14ac:dyDescent="0.25">
      <c r="A137"/>
      <c r="B137" t="e">
        <f>VLOOKUP(A137, Mats[], 8, 0)</f>
        <v>#N/A</v>
      </c>
      <c r="C137"/>
      <c r="D137" s="8"/>
      <c r="E137" s="8">
        <f t="shared" si="2"/>
        <v>0</v>
      </c>
    </row>
    <row r="138" spans="1:5" hidden="1" x14ac:dyDescent="0.25">
      <c r="A138"/>
      <c r="B138" t="e">
        <f>VLOOKUP(A138, Mats[], 8, 0)</f>
        <v>#N/A</v>
      </c>
      <c r="C138"/>
      <c r="D138" s="8"/>
      <c r="E138" s="8">
        <f t="shared" si="2"/>
        <v>0</v>
      </c>
    </row>
    <row r="139" spans="1:5" hidden="1" x14ac:dyDescent="0.25">
      <c r="A139"/>
      <c r="B139" t="e">
        <f>VLOOKUP(A139, Mats[], 8, 0)</f>
        <v>#N/A</v>
      </c>
      <c r="C139"/>
      <c r="D139" s="8"/>
      <c r="E139" s="8">
        <f t="shared" si="2"/>
        <v>0</v>
      </c>
    </row>
    <row r="140" spans="1:5" hidden="1" x14ac:dyDescent="0.25">
      <c r="A140"/>
      <c r="B140" t="e">
        <f>VLOOKUP(A140, Mats[], 8, 0)</f>
        <v>#N/A</v>
      </c>
      <c r="C140"/>
      <c r="D140" s="8"/>
      <c r="E140" s="8">
        <f t="shared" si="2"/>
        <v>0</v>
      </c>
    </row>
    <row r="141" spans="1:5" hidden="1" x14ac:dyDescent="0.25">
      <c r="A141"/>
      <c r="B141" t="e">
        <f>VLOOKUP(A141, Mats[], 8, 0)</f>
        <v>#N/A</v>
      </c>
      <c r="C141"/>
      <c r="D141" s="8"/>
      <c r="E141" s="8">
        <f t="shared" si="2"/>
        <v>0</v>
      </c>
    </row>
    <row r="142" spans="1:5" hidden="1" x14ac:dyDescent="0.25">
      <c r="A142"/>
      <c r="B142" t="e">
        <f>VLOOKUP(A142, Mats[], 8, 0)</f>
        <v>#N/A</v>
      </c>
      <c r="C142"/>
      <c r="D142" s="8"/>
      <c r="E142" s="8">
        <f t="shared" si="2"/>
        <v>0</v>
      </c>
    </row>
    <row r="143" spans="1:5" hidden="1" x14ac:dyDescent="0.25">
      <c r="A143"/>
      <c r="B143" t="e">
        <f>VLOOKUP(A143, Mats[], 8, 0)</f>
        <v>#N/A</v>
      </c>
      <c r="C143"/>
      <c r="D143" s="8"/>
      <c r="E143" s="8">
        <f t="shared" si="2"/>
        <v>0</v>
      </c>
    </row>
    <row r="144" spans="1:5" hidden="1" x14ac:dyDescent="0.25">
      <c r="A144"/>
      <c r="B144" t="e">
        <f>VLOOKUP(A144, Mats[], 8, 0)</f>
        <v>#N/A</v>
      </c>
      <c r="C144"/>
      <c r="D144" s="8"/>
      <c r="E144" s="8">
        <f t="shared" si="2"/>
        <v>0</v>
      </c>
    </row>
    <row r="145" spans="1:5" hidden="1" x14ac:dyDescent="0.25">
      <c r="A145"/>
      <c r="B145" t="e">
        <f>VLOOKUP(A145, Mats[], 8, 0)</f>
        <v>#N/A</v>
      </c>
      <c r="C145"/>
      <c r="D145" s="8"/>
      <c r="E145" s="8">
        <f t="shared" si="2"/>
        <v>0</v>
      </c>
    </row>
    <row r="146" spans="1:5" hidden="1" x14ac:dyDescent="0.25">
      <c r="A146"/>
      <c r="B146" t="e">
        <f>VLOOKUP(A146, Mats[], 8, 0)</f>
        <v>#N/A</v>
      </c>
      <c r="C146"/>
      <c r="D146" s="8"/>
      <c r="E146" s="8">
        <f t="shared" si="2"/>
        <v>0</v>
      </c>
    </row>
    <row r="147" spans="1:5" hidden="1" x14ac:dyDescent="0.25">
      <c r="A147"/>
      <c r="B147" t="e">
        <f>VLOOKUP(A147, Mats[], 8, 0)</f>
        <v>#N/A</v>
      </c>
      <c r="C147"/>
      <c r="D147" s="8"/>
      <c r="E147" s="8">
        <f t="shared" si="2"/>
        <v>0</v>
      </c>
    </row>
    <row r="148" spans="1:5" hidden="1" x14ac:dyDescent="0.25">
      <c r="A148"/>
      <c r="B148" t="e">
        <f>VLOOKUP(A148, Mats[], 8, 0)</f>
        <v>#N/A</v>
      </c>
      <c r="C148"/>
      <c r="D148" s="8"/>
      <c r="E148" s="8">
        <f t="shared" si="2"/>
        <v>0</v>
      </c>
    </row>
    <row r="149" spans="1:5" hidden="1" x14ac:dyDescent="0.25">
      <c r="A149"/>
      <c r="B149" t="e">
        <f>VLOOKUP(A149, Mats[], 8, 0)</f>
        <v>#N/A</v>
      </c>
      <c r="C149"/>
      <c r="D149" s="8"/>
      <c r="E149" s="8">
        <f t="shared" si="2"/>
        <v>0</v>
      </c>
    </row>
    <row r="150" spans="1:5" hidden="1" x14ac:dyDescent="0.25">
      <c r="A150"/>
      <c r="B150" t="e">
        <f>VLOOKUP(A150, Mats[], 8, 0)</f>
        <v>#N/A</v>
      </c>
      <c r="C150"/>
      <c r="D150" s="8"/>
      <c r="E150" s="8">
        <f t="shared" si="2"/>
        <v>0</v>
      </c>
    </row>
    <row r="151" spans="1:5" hidden="1" x14ac:dyDescent="0.25">
      <c r="A151"/>
      <c r="B151" t="e">
        <f>VLOOKUP(A151, Mats[], 8, 0)</f>
        <v>#N/A</v>
      </c>
      <c r="C151"/>
      <c r="D151" s="8"/>
      <c r="E151" s="8">
        <f t="shared" si="2"/>
        <v>0</v>
      </c>
    </row>
    <row r="152" spans="1:5" hidden="1" x14ac:dyDescent="0.25">
      <c r="A152"/>
      <c r="B152" t="e">
        <f>VLOOKUP(A152, Mats[], 8, 0)</f>
        <v>#N/A</v>
      </c>
      <c r="C152"/>
      <c r="D152" s="8"/>
      <c r="E152" s="8">
        <f t="shared" si="2"/>
        <v>0</v>
      </c>
    </row>
    <row r="153" spans="1:5" hidden="1" x14ac:dyDescent="0.25">
      <c r="A153"/>
      <c r="B153" t="e">
        <f>VLOOKUP(A153, Mats[], 8, 0)</f>
        <v>#N/A</v>
      </c>
      <c r="C153"/>
      <c r="D153" s="8"/>
      <c r="E153" s="8">
        <f t="shared" si="2"/>
        <v>0</v>
      </c>
    </row>
    <row r="154" spans="1:5" hidden="1" x14ac:dyDescent="0.25">
      <c r="A154"/>
      <c r="B154" t="e">
        <f>VLOOKUP(A154, Mats[], 8, 0)</f>
        <v>#N/A</v>
      </c>
      <c r="C154"/>
      <c r="D154" s="8"/>
      <c r="E154" s="8">
        <f t="shared" si="2"/>
        <v>0</v>
      </c>
    </row>
    <row r="155" spans="1:5" hidden="1" x14ac:dyDescent="0.25">
      <c r="A155"/>
      <c r="B155" t="e">
        <f>VLOOKUP(A155, Mats[], 8, 0)</f>
        <v>#N/A</v>
      </c>
      <c r="C155"/>
      <c r="D155" s="8"/>
      <c r="E155" s="8">
        <f t="shared" si="2"/>
        <v>0</v>
      </c>
    </row>
    <row r="156" spans="1:5" hidden="1" x14ac:dyDescent="0.25">
      <c r="A156"/>
      <c r="B156" t="e">
        <f>VLOOKUP(A156, Mats[], 8, 0)</f>
        <v>#N/A</v>
      </c>
      <c r="C156"/>
      <c r="D156" s="8"/>
      <c r="E156" s="8">
        <f t="shared" si="2"/>
        <v>0</v>
      </c>
    </row>
    <row r="157" spans="1:5" hidden="1" x14ac:dyDescent="0.25">
      <c r="A157"/>
      <c r="B157" t="e">
        <f>VLOOKUP(A157, Mats[], 8, 0)</f>
        <v>#N/A</v>
      </c>
      <c r="C157"/>
      <c r="D157" s="8"/>
      <c r="E157" s="8">
        <f t="shared" si="2"/>
        <v>0</v>
      </c>
    </row>
    <row r="158" spans="1:5" hidden="1" x14ac:dyDescent="0.25">
      <c r="A158"/>
      <c r="B158" t="e">
        <f>VLOOKUP(A158, Mats[], 8, 0)</f>
        <v>#N/A</v>
      </c>
      <c r="C158"/>
      <c r="D158" s="8"/>
      <c r="E158" s="8">
        <f t="shared" si="2"/>
        <v>0</v>
      </c>
    </row>
    <row r="159" spans="1:5" hidden="1" x14ac:dyDescent="0.25">
      <c r="A159"/>
      <c r="B159" t="e">
        <f>VLOOKUP(A159, Mats[], 8, 0)</f>
        <v>#N/A</v>
      </c>
      <c r="C159"/>
      <c r="D159" s="8"/>
      <c r="E159" s="8">
        <f t="shared" si="2"/>
        <v>0</v>
      </c>
    </row>
    <row r="160" spans="1:5" hidden="1" x14ac:dyDescent="0.25">
      <c r="A160"/>
      <c r="B160" t="e">
        <f>VLOOKUP(A160, Mats[], 8, 0)</f>
        <v>#N/A</v>
      </c>
      <c r="C160"/>
      <c r="D160" s="8"/>
      <c r="E160" s="8">
        <f t="shared" si="2"/>
        <v>0</v>
      </c>
    </row>
    <row r="161" spans="1:5" hidden="1" x14ac:dyDescent="0.25">
      <c r="A161"/>
      <c r="B161" t="e">
        <f>VLOOKUP(A161, Mats[], 8, 0)</f>
        <v>#N/A</v>
      </c>
      <c r="C161"/>
      <c r="D161" s="8"/>
      <c r="E161" s="8">
        <f t="shared" si="2"/>
        <v>0</v>
      </c>
    </row>
    <row r="162" spans="1:5" hidden="1" x14ac:dyDescent="0.25">
      <c r="A162"/>
      <c r="B162" t="e">
        <f>VLOOKUP(A162, Mats[], 8, 0)</f>
        <v>#N/A</v>
      </c>
      <c r="C162"/>
      <c r="D162" s="8"/>
      <c r="E162" s="8">
        <f t="shared" si="2"/>
        <v>0</v>
      </c>
    </row>
    <row r="163" spans="1:5" hidden="1" x14ac:dyDescent="0.25">
      <c r="A163"/>
      <c r="B163" t="e">
        <f>VLOOKUP(A163, Mats[], 8, 0)</f>
        <v>#N/A</v>
      </c>
      <c r="C163"/>
      <c r="D163" s="8"/>
      <c r="E163" s="8">
        <f t="shared" si="2"/>
        <v>0</v>
      </c>
    </row>
    <row r="164" spans="1:5" hidden="1" x14ac:dyDescent="0.25">
      <c r="A164"/>
      <c r="B164" t="e">
        <f>VLOOKUP(A164, Mats[], 8, 0)</f>
        <v>#N/A</v>
      </c>
      <c r="C164"/>
      <c r="D164" s="8"/>
      <c r="E164" s="8">
        <f t="shared" si="2"/>
        <v>0</v>
      </c>
    </row>
    <row r="165" spans="1:5" hidden="1" x14ac:dyDescent="0.25">
      <c r="A165"/>
      <c r="B165" t="e">
        <f>VLOOKUP(A165, Mats[], 8, 0)</f>
        <v>#N/A</v>
      </c>
      <c r="C165"/>
      <c r="D165" s="8"/>
      <c r="E165" s="8">
        <f t="shared" si="2"/>
        <v>0</v>
      </c>
    </row>
    <row r="166" spans="1:5" hidden="1" x14ac:dyDescent="0.25">
      <c r="A166"/>
      <c r="B166" t="e">
        <f>VLOOKUP(A166, Mats[], 8, 0)</f>
        <v>#N/A</v>
      </c>
      <c r="C166"/>
      <c r="D166" s="8"/>
      <c r="E166" s="8">
        <f t="shared" si="2"/>
        <v>0</v>
      </c>
    </row>
    <row r="167" spans="1:5" hidden="1" x14ac:dyDescent="0.25">
      <c r="A167"/>
      <c r="B167" t="e">
        <f>VLOOKUP(A167, Mats[], 8, 0)</f>
        <v>#N/A</v>
      </c>
      <c r="C167"/>
      <c r="D167" s="8"/>
      <c r="E167" s="8">
        <f t="shared" si="2"/>
        <v>0</v>
      </c>
    </row>
    <row r="168" spans="1:5" hidden="1" x14ac:dyDescent="0.25">
      <c r="A168"/>
      <c r="B168" t="e">
        <f>VLOOKUP(A168, Mats[], 8, 0)</f>
        <v>#N/A</v>
      </c>
      <c r="C168"/>
      <c r="D168" s="8"/>
      <c r="E168" s="8">
        <f t="shared" si="2"/>
        <v>0</v>
      </c>
    </row>
    <row r="169" spans="1:5" hidden="1" x14ac:dyDescent="0.25">
      <c r="A169"/>
      <c r="B169" t="e">
        <f>VLOOKUP(A169, Mats[], 8, 0)</f>
        <v>#N/A</v>
      </c>
      <c r="C169"/>
      <c r="D169" s="8"/>
      <c r="E169" s="8">
        <f t="shared" si="2"/>
        <v>0</v>
      </c>
    </row>
    <row r="170" spans="1:5" hidden="1" x14ac:dyDescent="0.25">
      <c r="A170"/>
      <c r="B170" t="e">
        <f>VLOOKUP(A170, Mats[], 8, 0)</f>
        <v>#N/A</v>
      </c>
      <c r="C170"/>
      <c r="D170" s="8"/>
      <c r="E170" s="8">
        <f t="shared" si="2"/>
        <v>0</v>
      </c>
    </row>
    <row r="171" spans="1:5" hidden="1" x14ac:dyDescent="0.25">
      <c r="A171"/>
      <c r="B171" t="e">
        <f>VLOOKUP(A171, Mats[], 8, 0)</f>
        <v>#N/A</v>
      </c>
      <c r="C171"/>
      <c r="D171" s="8"/>
      <c r="E171" s="8">
        <f t="shared" si="2"/>
        <v>0</v>
      </c>
    </row>
    <row r="172" spans="1:5" hidden="1" x14ac:dyDescent="0.25">
      <c r="A172"/>
      <c r="B172" t="e">
        <f>VLOOKUP(A172, Mats[], 8, 0)</f>
        <v>#N/A</v>
      </c>
      <c r="C172"/>
      <c r="D172" s="8"/>
      <c r="E172" s="8">
        <f t="shared" si="2"/>
        <v>0</v>
      </c>
    </row>
    <row r="173" spans="1:5" hidden="1" x14ac:dyDescent="0.25">
      <c r="A173"/>
      <c r="B173" t="e">
        <f>VLOOKUP(A173, Mats[], 8, 0)</f>
        <v>#N/A</v>
      </c>
      <c r="C173"/>
      <c r="D173" s="8"/>
      <c r="E173" s="8">
        <f t="shared" si="2"/>
        <v>0</v>
      </c>
    </row>
    <row r="174" spans="1:5" hidden="1" x14ac:dyDescent="0.25">
      <c r="A174"/>
      <c r="B174" t="e">
        <f>VLOOKUP(A174, Mats[], 8, 0)</f>
        <v>#N/A</v>
      </c>
      <c r="C174"/>
      <c r="D174" s="8"/>
      <c r="E174" s="8">
        <f t="shared" si="2"/>
        <v>0</v>
      </c>
    </row>
    <row r="175" spans="1:5" hidden="1" x14ac:dyDescent="0.25">
      <c r="A175"/>
      <c r="B175" t="e">
        <f>VLOOKUP(A175, Mats[], 8, 0)</f>
        <v>#N/A</v>
      </c>
      <c r="C175"/>
      <c r="D175" s="8"/>
      <c r="E175" s="8">
        <f t="shared" si="2"/>
        <v>0</v>
      </c>
    </row>
    <row r="176" spans="1:5" hidden="1" x14ac:dyDescent="0.25">
      <c r="A176"/>
      <c r="B176" t="e">
        <f>VLOOKUP(A176, Mats[], 8, 0)</f>
        <v>#N/A</v>
      </c>
      <c r="C176"/>
      <c r="D176" s="8"/>
      <c r="E176" s="8">
        <f t="shared" si="2"/>
        <v>0</v>
      </c>
    </row>
    <row r="177" spans="1:5" hidden="1" x14ac:dyDescent="0.25">
      <c r="A177"/>
      <c r="B177" t="e">
        <f>VLOOKUP(A177, Mats[], 8, 0)</f>
        <v>#N/A</v>
      </c>
      <c r="C177"/>
      <c r="D177" s="8"/>
      <c r="E177" s="8">
        <f t="shared" si="2"/>
        <v>0</v>
      </c>
    </row>
    <row r="178" spans="1:5" hidden="1" x14ac:dyDescent="0.25">
      <c r="A178"/>
      <c r="B178" t="e">
        <f>VLOOKUP(A178, Mats[], 8, 0)</f>
        <v>#N/A</v>
      </c>
      <c r="C178"/>
      <c r="D178" s="8"/>
      <c r="E178" s="8">
        <f t="shared" si="2"/>
        <v>0</v>
      </c>
    </row>
    <row r="179" spans="1:5" hidden="1" x14ac:dyDescent="0.25">
      <c r="A179"/>
      <c r="B179" t="e">
        <f>VLOOKUP(A179, Mats[], 8, 0)</f>
        <v>#N/A</v>
      </c>
      <c r="C179"/>
      <c r="D179" s="8"/>
      <c r="E179" s="8">
        <f t="shared" si="2"/>
        <v>0</v>
      </c>
    </row>
    <row r="180" spans="1:5" hidden="1" x14ac:dyDescent="0.25">
      <c r="A180"/>
      <c r="B180" t="e">
        <f>VLOOKUP(A180, Mats[], 8, 0)</f>
        <v>#N/A</v>
      </c>
      <c r="C180"/>
      <c r="D180" s="8"/>
      <c r="E180" s="8">
        <f t="shared" si="2"/>
        <v>0</v>
      </c>
    </row>
    <row r="181" spans="1:5" hidden="1" x14ac:dyDescent="0.25">
      <c r="A181"/>
      <c r="B181" t="e">
        <f>VLOOKUP(A181, Mats[], 8, 0)</f>
        <v>#N/A</v>
      </c>
      <c r="C181"/>
      <c r="D181" s="8"/>
      <c r="E181" s="8">
        <f t="shared" si="2"/>
        <v>0</v>
      </c>
    </row>
    <row r="182" spans="1:5" hidden="1" x14ac:dyDescent="0.25">
      <c r="A182"/>
      <c r="B182" t="e">
        <f>VLOOKUP(A182, Mats[], 8, 0)</f>
        <v>#N/A</v>
      </c>
      <c r="C182"/>
      <c r="D182" s="8"/>
      <c r="E182" s="8">
        <f t="shared" si="2"/>
        <v>0</v>
      </c>
    </row>
    <row r="183" spans="1:5" hidden="1" x14ac:dyDescent="0.25">
      <c r="A183"/>
      <c r="B183" t="e">
        <f>VLOOKUP(A183, Mats[], 8, 0)</f>
        <v>#N/A</v>
      </c>
      <c r="C183"/>
      <c r="D183" s="8"/>
      <c r="E183" s="8">
        <f t="shared" si="2"/>
        <v>0</v>
      </c>
    </row>
    <row r="184" spans="1:5" hidden="1" x14ac:dyDescent="0.25">
      <c r="A184"/>
      <c r="B184" t="e">
        <f>VLOOKUP(A184, Mats[], 8, 0)</f>
        <v>#N/A</v>
      </c>
      <c r="C184"/>
      <c r="D184" s="8"/>
      <c r="E184" s="8">
        <f t="shared" si="2"/>
        <v>0</v>
      </c>
    </row>
    <row r="185" spans="1:5" hidden="1" x14ac:dyDescent="0.25">
      <c r="A185"/>
      <c r="B185" t="e">
        <f>VLOOKUP(A185, Mats[], 8, 0)</f>
        <v>#N/A</v>
      </c>
      <c r="C185"/>
      <c r="D185" s="8"/>
      <c r="E185" s="8">
        <f t="shared" si="2"/>
        <v>0</v>
      </c>
    </row>
    <row r="186" spans="1:5" hidden="1" x14ac:dyDescent="0.25">
      <c r="A186"/>
      <c r="B186" t="e">
        <f>VLOOKUP(A186, Mats[], 8, 0)</f>
        <v>#N/A</v>
      </c>
      <c r="C186"/>
      <c r="D186" s="8"/>
      <c r="E186" s="8">
        <f t="shared" si="2"/>
        <v>0</v>
      </c>
    </row>
    <row r="187" spans="1:5" hidden="1" x14ac:dyDescent="0.25">
      <c r="A187"/>
      <c r="B187" t="e">
        <f>VLOOKUP(A187, Mats[], 8, 0)</f>
        <v>#N/A</v>
      </c>
      <c r="C187"/>
      <c r="D187" s="8"/>
      <c r="E187" s="8">
        <f t="shared" si="2"/>
        <v>0</v>
      </c>
    </row>
    <row r="188" spans="1:5" hidden="1" x14ac:dyDescent="0.25">
      <c r="A188"/>
      <c r="B188" t="e">
        <f>VLOOKUP(A188, Mats[], 8, 0)</f>
        <v>#N/A</v>
      </c>
      <c r="C188"/>
      <c r="D188" s="8"/>
      <c r="E188" s="8">
        <f t="shared" si="2"/>
        <v>0</v>
      </c>
    </row>
    <row r="189" spans="1:5" hidden="1" x14ac:dyDescent="0.25">
      <c r="A189"/>
      <c r="B189" t="e">
        <f>VLOOKUP(A189, Mats[], 8, 0)</f>
        <v>#N/A</v>
      </c>
      <c r="C189"/>
      <c r="D189" s="8"/>
      <c r="E189" s="8">
        <f t="shared" si="2"/>
        <v>0</v>
      </c>
    </row>
    <row r="190" spans="1:5" hidden="1" x14ac:dyDescent="0.25">
      <c r="A190"/>
      <c r="B190" t="e">
        <f>VLOOKUP(A190, Mats[], 8, 0)</f>
        <v>#N/A</v>
      </c>
      <c r="C190"/>
      <c r="D190" s="8"/>
      <c r="E190" s="8">
        <f t="shared" si="2"/>
        <v>0</v>
      </c>
    </row>
    <row r="191" spans="1:5" hidden="1" x14ac:dyDescent="0.25">
      <c r="A191"/>
      <c r="B191" t="e">
        <f>VLOOKUP(A191, Mats[], 8, 0)</f>
        <v>#N/A</v>
      </c>
      <c r="C191"/>
      <c r="D191" s="8"/>
      <c r="E191" s="8">
        <f t="shared" si="2"/>
        <v>0</v>
      </c>
    </row>
    <row r="192" spans="1:5" hidden="1" x14ac:dyDescent="0.25">
      <c r="A192"/>
      <c r="B192" t="e">
        <f>VLOOKUP(A192, Mats[], 8, 0)</f>
        <v>#N/A</v>
      </c>
      <c r="C192"/>
      <c r="D192" s="8"/>
      <c r="E192" s="8">
        <f t="shared" si="2"/>
        <v>0</v>
      </c>
    </row>
    <row r="193" spans="1:5" hidden="1" x14ac:dyDescent="0.25">
      <c r="A193"/>
      <c r="B193" t="e">
        <f>VLOOKUP(A193, Mats[], 8, 0)</f>
        <v>#N/A</v>
      </c>
      <c r="C193"/>
      <c r="D193" s="8"/>
      <c r="E193" s="8">
        <f t="shared" si="2"/>
        <v>0</v>
      </c>
    </row>
    <row r="194" spans="1:5" hidden="1" x14ac:dyDescent="0.25">
      <c r="A194"/>
      <c r="B194" t="e">
        <f>VLOOKUP(A194, Mats[], 8, 0)</f>
        <v>#N/A</v>
      </c>
      <c r="C194"/>
      <c r="D194" s="8"/>
      <c r="E194" s="8">
        <f t="shared" si="2"/>
        <v>0</v>
      </c>
    </row>
    <row r="195" spans="1:5" hidden="1" x14ac:dyDescent="0.25">
      <c r="A195"/>
      <c r="B195" t="e">
        <f>VLOOKUP(A195, Mats[], 8, 0)</f>
        <v>#N/A</v>
      </c>
      <c r="C195"/>
      <c r="D195" s="8"/>
      <c r="E195" s="8">
        <f t="shared" ref="E195:E258" si="3">IFERROR( IF( $I$1 = 0, 0, ROUNDUP( C195/B195, 0)*B195 - D195), 0)</f>
        <v>0</v>
      </c>
    </row>
    <row r="196" spans="1:5" hidden="1" x14ac:dyDescent="0.25">
      <c r="A196"/>
      <c r="B196" t="e">
        <f>VLOOKUP(A196, Mats[], 8, 0)</f>
        <v>#N/A</v>
      </c>
      <c r="C196"/>
      <c r="D196" s="8"/>
      <c r="E196" s="8">
        <f t="shared" si="3"/>
        <v>0</v>
      </c>
    </row>
    <row r="197" spans="1:5" hidden="1" x14ac:dyDescent="0.25">
      <c r="A197"/>
      <c r="B197" t="e">
        <f>VLOOKUP(A197, Mats[], 8, 0)</f>
        <v>#N/A</v>
      </c>
      <c r="C197"/>
      <c r="D197" s="8"/>
      <c r="E197" s="8">
        <f t="shared" si="3"/>
        <v>0</v>
      </c>
    </row>
    <row r="198" spans="1:5" hidden="1" x14ac:dyDescent="0.25">
      <c r="A198"/>
      <c r="B198" t="e">
        <f>VLOOKUP(A198, Mats[], 8, 0)</f>
        <v>#N/A</v>
      </c>
      <c r="C198"/>
      <c r="D198" s="8"/>
      <c r="E198" s="8">
        <f t="shared" si="3"/>
        <v>0</v>
      </c>
    </row>
    <row r="199" spans="1:5" hidden="1" x14ac:dyDescent="0.25">
      <c r="A199"/>
      <c r="B199" t="e">
        <f>VLOOKUP(A199, Mats[], 8, 0)</f>
        <v>#N/A</v>
      </c>
      <c r="C199"/>
      <c r="D199" s="8"/>
      <c r="E199" s="8">
        <f t="shared" si="3"/>
        <v>0</v>
      </c>
    </row>
    <row r="200" spans="1:5" hidden="1" x14ac:dyDescent="0.25">
      <c r="A200"/>
      <c r="B200" t="e">
        <f>VLOOKUP(A200, Mats[], 8, 0)</f>
        <v>#N/A</v>
      </c>
      <c r="C200"/>
      <c r="D200" s="8"/>
      <c r="E200" s="8">
        <f t="shared" si="3"/>
        <v>0</v>
      </c>
    </row>
    <row r="201" spans="1:5" hidden="1" x14ac:dyDescent="0.25">
      <c r="A201"/>
      <c r="B201" t="e">
        <f>VLOOKUP(A201, Mats[], 8, 0)</f>
        <v>#N/A</v>
      </c>
      <c r="C201"/>
      <c r="D201" s="8"/>
      <c r="E201" s="8">
        <f t="shared" si="3"/>
        <v>0</v>
      </c>
    </row>
    <row r="202" spans="1:5" hidden="1" x14ac:dyDescent="0.25">
      <c r="A202"/>
      <c r="B202" t="e">
        <f>VLOOKUP(A202, Mats[], 8, 0)</f>
        <v>#N/A</v>
      </c>
      <c r="C202"/>
      <c r="D202" s="8"/>
      <c r="E202" s="8">
        <f t="shared" si="3"/>
        <v>0</v>
      </c>
    </row>
    <row r="203" spans="1:5" hidden="1" x14ac:dyDescent="0.25">
      <c r="A203"/>
      <c r="B203" t="e">
        <f>VLOOKUP(A203, Mats[], 8, 0)</f>
        <v>#N/A</v>
      </c>
      <c r="C203"/>
      <c r="D203" s="8"/>
      <c r="E203" s="8">
        <f t="shared" si="3"/>
        <v>0</v>
      </c>
    </row>
    <row r="204" spans="1:5" hidden="1" x14ac:dyDescent="0.25">
      <c r="A204"/>
      <c r="B204" t="e">
        <f>VLOOKUP(A204, Mats[], 8, 0)</f>
        <v>#N/A</v>
      </c>
      <c r="C204"/>
      <c r="D204" s="8"/>
      <c r="E204" s="8">
        <f t="shared" si="3"/>
        <v>0</v>
      </c>
    </row>
    <row r="205" spans="1:5" hidden="1" x14ac:dyDescent="0.25">
      <c r="A205"/>
      <c r="B205" t="e">
        <f>VLOOKUP(A205, Mats[], 8, 0)</f>
        <v>#N/A</v>
      </c>
      <c r="C205"/>
      <c r="D205" s="8"/>
      <c r="E205" s="8">
        <f t="shared" si="3"/>
        <v>0</v>
      </c>
    </row>
    <row r="206" spans="1:5" hidden="1" x14ac:dyDescent="0.25">
      <c r="A206"/>
      <c r="B206" t="e">
        <f>VLOOKUP(A206, Mats[], 8, 0)</f>
        <v>#N/A</v>
      </c>
      <c r="C206"/>
      <c r="D206" s="8"/>
      <c r="E206" s="8">
        <f t="shared" si="3"/>
        <v>0</v>
      </c>
    </row>
    <row r="207" spans="1:5" hidden="1" x14ac:dyDescent="0.25">
      <c r="A207"/>
      <c r="B207" t="e">
        <f>VLOOKUP(A207, Mats[], 8, 0)</f>
        <v>#N/A</v>
      </c>
      <c r="C207"/>
      <c r="D207" s="8"/>
      <c r="E207" s="8">
        <f t="shared" si="3"/>
        <v>0</v>
      </c>
    </row>
    <row r="208" spans="1:5" hidden="1" x14ac:dyDescent="0.25">
      <c r="A208"/>
      <c r="B208" t="e">
        <f>VLOOKUP(A208, Mats[], 8, 0)</f>
        <v>#N/A</v>
      </c>
      <c r="C208"/>
      <c r="D208" s="8"/>
      <c r="E208" s="8">
        <f t="shared" si="3"/>
        <v>0</v>
      </c>
    </row>
    <row r="209" spans="1:5" hidden="1" x14ac:dyDescent="0.25">
      <c r="A209"/>
      <c r="B209" t="e">
        <f>VLOOKUP(A209, Mats[], 8, 0)</f>
        <v>#N/A</v>
      </c>
      <c r="C209"/>
      <c r="D209" s="8"/>
      <c r="E209" s="8">
        <f t="shared" si="3"/>
        <v>0</v>
      </c>
    </row>
    <row r="210" spans="1:5" hidden="1" x14ac:dyDescent="0.25">
      <c r="A210"/>
      <c r="B210" t="e">
        <f>VLOOKUP(A210, Mats[], 8, 0)</f>
        <v>#N/A</v>
      </c>
      <c r="C210"/>
      <c r="D210" s="8"/>
      <c r="E210" s="8">
        <f t="shared" si="3"/>
        <v>0</v>
      </c>
    </row>
    <row r="211" spans="1:5" hidden="1" x14ac:dyDescent="0.25">
      <c r="A211"/>
      <c r="B211" t="e">
        <f>VLOOKUP(A211, Mats[], 8, 0)</f>
        <v>#N/A</v>
      </c>
      <c r="C211"/>
      <c r="D211" s="8"/>
      <c r="E211" s="8">
        <f t="shared" si="3"/>
        <v>0</v>
      </c>
    </row>
    <row r="212" spans="1:5" hidden="1" x14ac:dyDescent="0.25">
      <c r="A212"/>
      <c r="B212" t="e">
        <f>VLOOKUP(A212, Mats[], 8, 0)</f>
        <v>#N/A</v>
      </c>
      <c r="C212"/>
      <c r="D212" s="8"/>
      <c r="E212" s="8">
        <f t="shared" si="3"/>
        <v>0</v>
      </c>
    </row>
    <row r="213" spans="1:5" hidden="1" x14ac:dyDescent="0.25">
      <c r="A213"/>
      <c r="B213" t="e">
        <f>VLOOKUP(A213, Mats[], 8, 0)</f>
        <v>#N/A</v>
      </c>
      <c r="C213"/>
      <c r="D213" s="8"/>
      <c r="E213" s="8">
        <f t="shared" si="3"/>
        <v>0</v>
      </c>
    </row>
    <row r="214" spans="1:5" hidden="1" x14ac:dyDescent="0.25">
      <c r="A214"/>
      <c r="B214" t="e">
        <f>VLOOKUP(A214, Mats[], 8, 0)</f>
        <v>#N/A</v>
      </c>
      <c r="C214"/>
      <c r="D214" s="8"/>
      <c r="E214" s="8">
        <f t="shared" si="3"/>
        <v>0</v>
      </c>
    </row>
    <row r="215" spans="1:5" hidden="1" x14ac:dyDescent="0.25">
      <c r="A215"/>
      <c r="B215" t="e">
        <f>VLOOKUP(A215, Mats[], 8, 0)</f>
        <v>#N/A</v>
      </c>
      <c r="C215"/>
      <c r="D215" s="8"/>
      <c r="E215" s="8">
        <f t="shared" si="3"/>
        <v>0</v>
      </c>
    </row>
    <row r="216" spans="1:5" hidden="1" x14ac:dyDescent="0.25">
      <c r="A216"/>
      <c r="B216" t="e">
        <f>VLOOKUP(A216, Mats[], 8, 0)</f>
        <v>#N/A</v>
      </c>
      <c r="C216"/>
      <c r="D216" s="8"/>
      <c r="E216" s="8">
        <f t="shared" si="3"/>
        <v>0</v>
      </c>
    </row>
    <row r="217" spans="1:5" hidden="1" x14ac:dyDescent="0.25">
      <c r="A217"/>
      <c r="B217" t="e">
        <f>VLOOKUP(A217, Mats[], 8, 0)</f>
        <v>#N/A</v>
      </c>
      <c r="C217"/>
      <c r="D217" s="8"/>
      <c r="E217" s="8">
        <f t="shared" si="3"/>
        <v>0</v>
      </c>
    </row>
    <row r="218" spans="1:5" hidden="1" x14ac:dyDescent="0.25">
      <c r="A218"/>
      <c r="B218" t="e">
        <f>VLOOKUP(A218, Mats[], 8, 0)</f>
        <v>#N/A</v>
      </c>
      <c r="C218"/>
      <c r="D218" s="8"/>
      <c r="E218" s="8">
        <f t="shared" si="3"/>
        <v>0</v>
      </c>
    </row>
    <row r="219" spans="1:5" hidden="1" x14ac:dyDescent="0.25">
      <c r="A219"/>
      <c r="B219" t="e">
        <f>VLOOKUP(A219, Mats[], 8, 0)</f>
        <v>#N/A</v>
      </c>
      <c r="C219"/>
      <c r="D219" s="8"/>
      <c r="E219" s="8">
        <f t="shared" si="3"/>
        <v>0</v>
      </c>
    </row>
    <row r="220" spans="1:5" hidden="1" x14ac:dyDescent="0.25">
      <c r="A220"/>
      <c r="B220" t="e">
        <f>VLOOKUP(A220, Mats[], 8, 0)</f>
        <v>#N/A</v>
      </c>
      <c r="C220"/>
      <c r="D220" s="8"/>
      <c r="E220" s="8">
        <f t="shared" si="3"/>
        <v>0</v>
      </c>
    </row>
    <row r="221" spans="1:5" hidden="1" x14ac:dyDescent="0.25">
      <c r="A221"/>
      <c r="B221" t="e">
        <f>VLOOKUP(A221, Mats[], 8, 0)</f>
        <v>#N/A</v>
      </c>
      <c r="C221"/>
      <c r="D221" s="8"/>
      <c r="E221" s="8">
        <f t="shared" si="3"/>
        <v>0</v>
      </c>
    </row>
    <row r="222" spans="1:5" hidden="1" x14ac:dyDescent="0.25">
      <c r="A222"/>
      <c r="B222" t="e">
        <f>VLOOKUP(A222, Mats[], 8, 0)</f>
        <v>#N/A</v>
      </c>
      <c r="C222"/>
      <c r="D222" s="8"/>
      <c r="E222" s="8">
        <f t="shared" si="3"/>
        <v>0</v>
      </c>
    </row>
    <row r="223" spans="1:5" hidden="1" x14ac:dyDescent="0.25">
      <c r="A223"/>
      <c r="B223" t="e">
        <f>VLOOKUP(A223, Mats[], 8, 0)</f>
        <v>#N/A</v>
      </c>
      <c r="C223"/>
      <c r="D223" s="8"/>
      <c r="E223" s="8">
        <f t="shared" si="3"/>
        <v>0</v>
      </c>
    </row>
    <row r="224" spans="1:5" hidden="1" x14ac:dyDescent="0.25">
      <c r="A224"/>
      <c r="B224" t="e">
        <f>VLOOKUP(A224, Mats[], 8, 0)</f>
        <v>#N/A</v>
      </c>
      <c r="C224"/>
      <c r="D224" s="8"/>
      <c r="E224" s="8">
        <f t="shared" si="3"/>
        <v>0</v>
      </c>
    </row>
    <row r="225" spans="1:5" hidden="1" x14ac:dyDescent="0.25">
      <c r="A225"/>
      <c r="B225" t="e">
        <f>VLOOKUP(A225, Mats[], 8, 0)</f>
        <v>#N/A</v>
      </c>
      <c r="C225"/>
      <c r="D225" s="8"/>
      <c r="E225" s="8">
        <f t="shared" si="3"/>
        <v>0</v>
      </c>
    </row>
    <row r="226" spans="1:5" hidden="1" x14ac:dyDescent="0.25">
      <c r="A226"/>
      <c r="B226" t="e">
        <f>VLOOKUP(A226, Mats[], 8, 0)</f>
        <v>#N/A</v>
      </c>
      <c r="C226"/>
      <c r="D226" s="8"/>
      <c r="E226" s="8">
        <f t="shared" si="3"/>
        <v>0</v>
      </c>
    </row>
    <row r="227" spans="1:5" hidden="1" x14ac:dyDescent="0.25">
      <c r="A227"/>
      <c r="B227" t="e">
        <f>VLOOKUP(A227, Mats[], 8, 0)</f>
        <v>#N/A</v>
      </c>
      <c r="C227"/>
      <c r="D227" s="8"/>
      <c r="E227" s="8">
        <f t="shared" si="3"/>
        <v>0</v>
      </c>
    </row>
    <row r="228" spans="1:5" hidden="1" x14ac:dyDescent="0.25">
      <c r="A228"/>
      <c r="B228" t="e">
        <f>VLOOKUP(A228, Mats[], 8, 0)</f>
        <v>#N/A</v>
      </c>
      <c r="C228"/>
      <c r="D228" s="8"/>
      <c r="E228" s="8">
        <f t="shared" si="3"/>
        <v>0</v>
      </c>
    </row>
    <row r="229" spans="1:5" hidden="1" x14ac:dyDescent="0.25">
      <c r="A229"/>
      <c r="B229" t="e">
        <f>VLOOKUP(A229, Mats[], 8, 0)</f>
        <v>#N/A</v>
      </c>
      <c r="C229"/>
      <c r="D229" s="8"/>
      <c r="E229" s="8">
        <f t="shared" si="3"/>
        <v>0</v>
      </c>
    </row>
    <row r="230" spans="1:5" hidden="1" x14ac:dyDescent="0.25">
      <c r="A230"/>
      <c r="B230" t="e">
        <f>VLOOKUP(A230, Mats[], 8, 0)</f>
        <v>#N/A</v>
      </c>
      <c r="C230"/>
      <c r="D230" s="8"/>
      <c r="E230" s="8">
        <f t="shared" si="3"/>
        <v>0</v>
      </c>
    </row>
    <row r="231" spans="1:5" hidden="1" x14ac:dyDescent="0.25">
      <c r="A231"/>
      <c r="B231" t="e">
        <f>VLOOKUP(A231, Mats[], 8, 0)</f>
        <v>#N/A</v>
      </c>
      <c r="C231"/>
      <c r="D231" s="8"/>
      <c r="E231" s="8">
        <f t="shared" si="3"/>
        <v>0</v>
      </c>
    </row>
    <row r="232" spans="1:5" hidden="1" x14ac:dyDescent="0.25">
      <c r="A232"/>
      <c r="B232" t="e">
        <f>VLOOKUP(A232, Mats[], 8, 0)</f>
        <v>#N/A</v>
      </c>
      <c r="C232"/>
      <c r="D232" s="8"/>
      <c r="E232" s="8">
        <f t="shared" si="3"/>
        <v>0</v>
      </c>
    </row>
    <row r="233" spans="1:5" hidden="1" x14ac:dyDescent="0.25">
      <c r="A233"/>
      <c r="B233" t="e">
        <f>VLOOKUP(A233, Mats[], 8, 0)</f>
        <v>#N/A</v>
      </c>
      <c r="C233"/>
      <c r="D233" s="8"/>
      <c r="E233" s="8">
        <f t="shared" si="3"/>
        <v>0</v>
      </c>
    </row>
    <row r="234" spans="1:5" hidden="1" x14ac:dyDescent="0.25">
      <c r="A234"/>
      <c r="B234" t="e">
        <f>VLOOKUP(A234, Mats[], 8, 0)</f>
        <v>#N/A</v>
      </c>
      <c r="C234"/>
      <c r="D234" s="8"/>
      <c r="E234" s="8">
        <f t="shared" si="3"/>
        <v>0</v>
      </c>
    </row>
    <row r="235" spans="1:5" hidden="1" x14ac:dyDescent="0.25">
      <c r="A235"/>
      <c r="B235" t="e">
        <f>VLOOKUP(A235, Mats[], 8, 0)</f>
        <v>#N/A</v>
      </c>
      <c r="C235"/>
      <c r="D235" s="8"/>
      <c r="E235" s="8">
        <f t="shared" si="3"/>
        <v>0</v>
      </c>
    </row>
    <row r="236" spans="1:5" hidden="1" x14ac:dyDescent="0.25">
      <c r="A236"/>
      <c r="B236" t="e">
        <f>VLOOKUP(A236, Mats[], 8, 0)</f>
        <v>#N/A</v>
      </c>
      <c r="C236"/>
      <c r="D236" s="8"/>
      <c r="E236" s="8">
        <f t="shared" si="3"/>
        <v>0</v>
      </c>
    </row>
    <row r="237" spans="1:5" hidden="1" x14ac:dyDescent="0.25">
      <c r="A237"/>
      <c r="B237" t="e">
        <f>VLOOKUP(A237, Mats[], 8, 0)</f>
        <v>#N/A</v>
      </c>
      <c r="C237"/>
      <c r="D237" s="8"/>
      <c r="E237" s="8">
        <f t="shared" si="3"/>
        <v>0</v>
      </c>
    </row>
    <row r="238" spans="1:5" hidden="1" x14ac:dyDescent="0.25">
      <c r="A238"/>
      <c r="B238" t="e">
        <f>VLOOKUP(A238, Mats[], 8, 0)</f>
        <v>#N/A</v>
      </c>
      <c r="C238"/>
      <c r="D238" s="8"/>
      <c r="E238" s="8">
        <f t="shared" si="3"/>
        <v>0</v>
      </c>
    </row>
    <row r="239" spans="1:5" hidden="1" x14ac:dyDescent="0.25">
      <c r="A239"/>
      <c r="B239" t="e">
        <f>VLOOKUP(A239, Mats[], 8, 0)</f>
        <v>#N/A</v>
      </c>
      <c r="C239"/>
      <c r="D239" s="8"/>
      <c r="E239" s="8">
        <f t="shared" si="3"/>
        <v>0</v>
      </c>
    </row>
    <row r="240" spans="1:5" hidden="1" x14ac:dyDescent="0.25">
      <c r="A240"/>
      <c r="B240" t="e">
        <f>VLOOKUP(A240, Mats[], 8, 0)</f>
        <v>#N/A</v>
      </c>
      <c r="C240"/>
      <c r="D240" s="8"/>
      <c r="E240" s="8">
        <f t="shared" si="3"/>
        <v>0</v>
      </c>
    </row>
    <row r="241" spans="1:5" hidden="1" x14ac:dyDescent="0.25">
      <c r="A241"/>
      <c r="B241" t="e">
        <f>VLOOKUP(A241, Mats[], 8, 0)</f>
        <v>#N/A</v>
      </c>
      <c r="C241"/>
      <c r="D241" s="8"/>
      <c r="E241" s="8">
        <f t="shared" si="3"/>
        <v>0</v>
      </c>
    </row>
    <row r="242" spans="1:5" hidden="1" x14ac:dyDescent="0.25">
      <c r="A242"/>
      <c r="B242" t="e">
        <f>VLOOKUP(A242, Mats[], 8, 0)</f>
        <v>#N/A</v>
      </c>
      <c r="C242"/>
      <c r="D242" s="8"/>
      <c r="E242" s="8">
        <f t="shared" si="3"/>
        <v>0</v>
      </c>
    </row>
    <row r="243" spans="1:5" hidden="1" x14ac:dyDescent="0.25">
      <c r="A243"/>
      <c r="B243" t="e">
        <f>VLOOKUP(A243, Mats[], 8, 0)</f>
        <v>#N/A</v>
      </c>
      <c r="C243"/>
      <c r="D243" s="8"/>
      <c r="E243" s="8">
        <f t="shared" si="3"/>
        <v>0</v>
      </c>
    </row>
    <row r="244" spans="1:5" hidden="1" x14ac:dyDescent="0.25">
      <c r="A244"/>
      <c r="B244" t="e">
        <f>VLOOKUP(A244, Mats[], 8, 0)</f>
        <v>#N/A</v>
      </c>
      <c r="C244"/>
      <c r="D244" s="8"/>
      <c r="E244" s="8">
        <f t="shared" si="3"/>
        <v>0</v>
      </c>
    </row>
    <row r="245" spans="1:5" hidden="1" x14ac:dyDescent="0.25">
      <c r="A245"/>
      <c r="B245" t="e">
        <f>VLOOKUP(A245, Mats[], 8, 0)</f>
        <v>#N/A</v>
      </c>
      <c r="C245"/>
      <c r="D245" s="8"/>
      <c r="E245" s="8">
        <f t="shared" si="3"/>
        <v>0</v>
      </c>
    </row>
    <row r="246" spans="1:5" hidden="1" x14ac:dyDescent="0.25">
      <c r="A246"/>
      <c r="B246" t="e">
        <f>VLOOKUP(A246, Mats[], 8, 0)</f>
        <v>#N/A</v>
      </c>
      <c r="C246"/>
      <c r="D246" s="8"/>
      <c r="E246" s="8">
        <f t="shared" si="3"/>
        <v>0</v>
      </c>
    </row>
    <row r="247" spans="1:5" hidden="1" x14ac:dyDescent="0.25">
      <c r="A247"/>
      <c r="B247" t="e">
        <f>VLOOKUP(A247, Mats[], 8, 0)</f>
        <v>#N/A</v>
      </c>
      <c r="C247"/>
      <c r="D247" s="8"/>
      <c r="E247" s="8">
        <f t="shared" si="3"/>
        <v>0</v>
      </c>
    </row>
    <row r="248" spans="1:5" hidden="1" x14ac:dyDescent="0.25">
      <c r="A248"/>
      <c r="B248" t="e">
        <f>VLOOKUP(A248, Mats[], 8, 0)</f>
        <v>#N/A</v>
      </c>
      <c r="C248"/>
      <c r="D248" s="8"/>
      <c r="E248" s="8">
        <f t="shared" si="3"/>
        <v>0</v>
      </c>
    </row>
    <row r="249" spans="1:5" hidden="1" x14ac:dyDescent="0.25">
      <c r="A249"/>
      <c r="B249" t="e">
        <f>VLOOKUP(A249, Mats[], 8, 0)</f>
        <v>#N/A</v>
      </c>
      <c r="C249"/>
      <c r="D249" s="8"/>
      <c r="E249" s="8">
        <f t="shared" si="3"/>
        <v>0</v>
      </c>
    </row>
    <row r="250" spans="1:5" hidden="1" x14ac:dyDescent="0.25">
      <c r="A250"/>
      <c r="B250" t="e">
        <f>VLOOKUP(A250, Mats[], 8, 0)</f>
        <v>#N/A</v>
      </c>
      <c r="C250"/>
      <c r="D250" s="8"/>
      <c r="E250" s="8">
        <f t="shared" si="3"/>
        <v>0</v>
      </c>
    </row>
    <row r="251" spans="1:5" hidden="1" x14ac:dyDescent="0.25">
      <c r="A251"/>
      <c r="B251" t="e">
        <f>VLOOKUP(A251, Mats[], 8, 0)</f>
        <v>#N/A</v>
      </c>
      <c r="C251"/>
      <c r="D251" s="8"/>
      <c r="E251" s="8">
        <f t="shared" si="3"/>
        <v>0</v>
      </c>
    </row>
    <row r="252" spans="1:5" hidden="1" x14ac:dyDescent="0.25">
      <c r="A252"/>
      <c r="B252" t="e">
        <f>VLOOKUP(A252, Mats[], 8, 0)</f>
        <v>#N/A</v>
      </c>
      <c r="C252"/>
      <c r="D252" s="8"/>
      <c r="E252" s="8">
        <f t="shared" si="3"/>
        <v>0</v>
      </c>
    </row>
    <row r="253" spans="1:5" hidden="1" x14ac:dyDescent="0.25">
      <c r="A253"/>
      <c r="B253" t="e">
        <f>VLOOKUP(A253, Mats[], 8, 0)</f>
        <v>#N/A</v>
      </c>
      <c r="C253"/>
      <c r="D253" s="8"/>
      <c r="E253" s="8">
        <f t="shared" si="3"/>
        <v>0</v>
      </c>
    </row>
    <row r="254" spans="1:5" hidden="1" x14ac:dyDescent="0.25">
      <c r="A254"/>
      <c r="B254" t="e">
        <f>VLOOKUP(A254, Mats[], 8, 0)</f>
        <v>#N/A</v>
      </c>
      <c r="C254"/>
      <c r="D254" s="8"/>
      <c r="E254" s="8">
        <f t="shared" si="3"/>
        <v>0</v>
      </c>
    </row>
    <row r="255" spans="1:5" hidden="1" x14ac:dyDescent="0.25">
      <c r="A255"/>
      <c r="B255" t="e">
        <f>VLOOKUP(A255, Mats[], 8, 0)</f>
        <v>#N/A</v>
      </c>
      <c r="C255"/>
      <c r="D255" s="8"/>
      <c r="E255" s="8">
        <f t="shared" si="3"/>
        <v>0</v>
      </c>
    </row>
    <row r="256" spans="1:5" hidden="1" x14ac:dyDescent="0.25">
      <c r="A256"/>
      <c r="B256" t="e">
        <f>VLOOKUP(A256, Mats[], 8, 0)</f>
        <v>#N/A</v>
      </c>
      <c r="C256"/>
      <c r="D256" s="8"/>
      <c r="E256" s="8">
        <f t="shared" si="3"/>
        <v>0</v>
      </c>
    </row>
    <row r="257" spans="1:5" hidden="1" x14ac:dyDescent="0.25">
      <c r="A257"/>
      <c r="B257" t="e">
        <f>VLOOKUP(A257, Mats[], 8, 0)</f>
        <v>#N/A</v>
      </c>
      <c r="C257"/>
      <c r="D257" s="8"/>
      <c r="E257" s="8">
        <f t="shared" si="3"/>
        <v>0</v>
      </c>
    </row>
    <row r="258" spans="1:5" hidden="1" x14ac:dyDescent="0.25">
      <c r="A258"/>
      <c r="B258" t="e">
        <f>VLOOKUP(A258, Mats[], 8, 0)</f>
        <v>#N/A</v>
      </c>
      <c r="C258"/>
      <c r="D258" s="8"/>
      <c r="E258" s="8">
        <f t="shared" si="3"/>
        <v>0</v>
      </c>
    </row>
    <row r="259" spans="1:5" hidden="1" x14ac:dyDescent="0.25">
      <c r="A259"/>
      <c r="B259" t="e">
        <f>VLOOKUP(A259, Mats[], 8, 0)</f>
        <v>#N/A</v>
      </c>
      <c r="C259"/>
      <c r="D259" s="8"/>
      <c r="E259" s="8">
        <f t="shared" ref="E259:E322" si="4">IFERROR( IF( $I$1 = 0, 0, ROUNDUP( C259/B259, 0)*B259 - D259), 0)</f>
        <v>0</v>
      </c>
    </row>
    <row r="260" spans="1:5" hidden="1" x14ac:dyDescent="0.25">
      <c r="A260"/>
      <c r="B260" t="e">
        <f>VLOOKUP(A260, Mats[], 8, 0)</f>
        <v>#N/A</v>
      </c>
      <c r="C260"/>
      <c r="D260" s="8"/>
      <c r="E260" s="8">
        <f t="shared" si="4"/>
        <v>0</v>
      </c>
    </row>
    <row r="261" spans="1:5" hidden="1" x14ac:dyDescent="0.25">
      <c r="A261"/>
      <c r="B261" t="e">
        <f>VLOOKUP(A261, Mats[], 8, 0)</f>
        <v>#N/A</v>
      </c>
      <c r="C261"/>
      <c r="D261" s="8"/>
      <c r="E261" s="8">
        <f t="shared" si="4"/>
        <v>0</v>
      </c>
    </row>
    <row r="262" spans="1:5" hidden="1" x14ac:dyDescent="0.25">
      <c r="A262"/>
      <c r="B262" t="e">
        <f>VLOOKUP(A262, Mats[], 8, 0)</f>
        <v>#N/A</v>
      </c>
      <c r="C262"/>
      <c r="D262" s="8"/>
      <c r="E262" s="8">
        <f t="shared" si="4"/>
        <v>0</v>
      </c>
    </row>
    <row r="263" spans="1:5" hidden="1" x14ac:dyDescent="0.25">
      <c r="A263"/>
      <c r="B263" t="e">
        <f>VLOOKUP(A263, Mats[], 8, 0)</f>
        <v>#N/A</v>
      </c>
      <c r="C263"/>
      <c r="D263" s="8"/>
      <c r="E263" s="8">
        <f t="shared" si="4"/>
        <v>0</v>
      </c>
    </row>
    <row r="264" spans="1:5" hidden="1" x14ac:dyDescent="0.25">
      <c r="A264"/>
      <c r="B264" t="e">
        <f>VLOOKUP(A264, Mats[], 8, 0)</f>
        <v>#N/A</v>
      </c>
      <c r="C264"/>
      <c r="D264" s="8"/>
      <c r="E264" s="8">
        <f t="shared" si="4"/>
        <v>0</v>
      </c>
    </row>
    <row r="265" spans="1:5" hidden="1" x14ac:dyDescent="0.25">
      <c r="A265"/>
      <c r="B265" t="e">
        <f>VLOOKUP(A265, Mats[], 8, 0)</f>
        <v>#N/A</v>
      </c>
      <c r="C265"/>
      <c r="D265" s="8"/>
      <c r="E265" s="8">
        <f t="shared" si="4"/>
        <v>0</v>
      </c>
    </row>
    <row r="266" spans="1:5" hidden="1" x14ac:dyDescent="0.25">
      <c r="A266"/>
      <c r="B266" t="e">
        <f>VLOOKUP(A266, Mats[], 8, 0)</f>
        <v>#N/A</v>
      </c>
      <c r="C266"/>
      <c r="D266" s="8"/>
      <c r="E266" s="8">
        <f t="shared" si="4"/>
        <v>0</v>
      </c>
    </row>
    <row r="267" spans="1:5" hidden="1" x14ac:dyDescent="0.25">
      <c r="A267"/>
      <c r="B267" t="e">
        <f>VLOOKUP(A267, Mats[], 8, 0)</f>
        <v>#N/A</v>
      </c>
      <c r="C267"/>
      <c r="D267" s="8"/>
      <c r="E267" s="8">
        <f t="shared" si="4"/>
        <v>0</v>
      </c>
    </row>
    <row r="268" spans="1:5" hidden="1" x14ac:dyDescent="0.25">
      <c r="A268"/>
      <c r="B268" t="e">
        <f>VLOOKUP(A268, Mats[], 8, 0)</f>
        <v>#N/A</v>
      </c>
      <c r="C268"/>
      <c r="D268" s="8"/>
      <c r="E268" s="8">
        <f t="shared" si="4"/>
        <v>0</v>
      </c>
    </row>
    <row r="269" spans="1:5" hidden="1" x14ac:dyDescent="0.25">
      <c r="A269"/>
      <c r="B269" t="e">
        <f>VLOOKUP(A269, Mats[], 8, 0)</f>
        <v>#N/A</v>
      </c>
      <c r="C269"/>
      <c r="D269" s="8"/>
      <c r="E269" s="8">
        <f t="shared" si="4"/>
        <v>0</v>
      </c>
    </row>
    <row r="270" spans="1:5" hidden="1" x14ac:dyDescent="0.25">
      <c r="A270"/>
      <c r="B270" t="e">
        <f>VLOOKUP(A270, Mats[], 8, 0)</f>
        <v>#N/A</v>
      </c>
      <c r="C270"/>
      <c r="D270" s="8"/>
      <c r="E270" s="8">
        <f t="shared" si="4"/>
        <v>0</v>
      </c>
    </row>
    <row r="271" spans="1:5" hidden="1" x14ac:dyDescent="0.25">
      <c r="A271"/>
      <c r="B271" t="e">
        <f>VLOOKUP(A271, Mats[], 8, 0)</f>
        <v>#N/A</v>
      </c>
      <c r="C271"/>
      <c r="D271" s="8"/>
      <c r="E271" s="8">
        <f t="shared" si="4"/>
        <v>0</v>
      </c>
    </row>
    <row r="272" spans="1:5" hidden="1" x14ac:dyDescent="0.25">
      <c r="A272"/>
      <c r="B272" t="e">
        <f>VLOOKUP(A272, Mats[], 8, 0)</f>
        <v>#N/A</v>
      </c>
      <c r="C272"/>
      <c r="D272" s="8"/>
      <c r="E272" s="8">
        <f t="shared" si="4"/>
        <v>0</v>
      </c>
    </row>
    <row r="273" spans="1:5" hidden="1" x14ac:dyDescent="0.25">
      <c r="A273"/>
      <c r="B273" t="e">
        <f>VLOOKUP(A273, Mats[], 8, 0)</f>
        <v>#N/A</v>
      </c>
      <c r="C273"/>
      <c r="D273" s="8"/>
      <c r="E273" s="8">
        <f t="shared" si="4"/>
        <v>0</v>
      </c>
    </row>
    <row r="274" spans="1:5" hidden="1" x14ac:dyDescent="0.25">
      <c r="A274"/>
      <c r="B274" t="e">
        <f>VLOOKUP(A274, Mats[], 8, 0)</f>
        <v>#N/A</v>
      </c>
      <c r="C274"/>
      <c r="D274" s="8"/>
      <c r="E274" s="8">
        <f t="shared" si="4"/>
        <v>0</v>
      </c>
    </row>
    <row r="275" spans="1:5" hidden="1" x14ac:dyDescent="0.25">
      <c r="A275"/>
      <c r="B275" t="e">
        <f>VLOOKUP(A275, Mats[], 8, 0)</f>
        <v>#N/A</v>
      </c>
      <c r="C275"/>
      <c r="D275" s="8"/>
      <c r="E275" s="8">
        <f t="shared" si="4"/>
        <v>0</v>
      </c>
    </row>
    <row r="276" spans="1:5" hidden="1" x14ac:dyDescent="0.25">
      <c r="A276"/>
      <c r="B276" t="e">
        <f>VLOOKUP(A276, Mats[], 8, 0)</f>
        <v>#N/A</v>
      </c>
      <c r="C276"/>
      <c r="D276" s="8"/>
      <c r="E276" s="8">
        <f t="shared" si="4"/>
        <v>0</v>
      </c>
    </row>
    <row r="277" spans="1:5" hidden="1" x14ac:dyDescent="0.25">
      <c r="A277"/>
      <c r="B277" t="e">
        <f>VLOOKUP(A277, Mats[], 8, 0)</f>
        <v>#N/A</v>
      </c>
      <c r="C277"/>
      <c r="D277" s="8"/>
      <c r="E277" s="8">
        <f t="shared" si="4"/>
        <v>0</v>
      </c>
    </row>
    <row r="278" spans="1:5" hidden="1" x14ac:dyDescent="0.25">
      <c r="A278"/>
      <c r="B278" t="e">
        <f>VLOOKUP(A278, Mats[], 8, 0)</f>
        <v>#N/A</v>
      </c>
      <c r="C278"/>
      <c r="D278" s="8"/>
      <c r="E278" s="8">
        <f t="shared" si="4"/>
        <v>0</v>
      </c>
    </row>
    <row r="279" spans="1:5" hidden="1" x14ac:dyDescent="0.25">
      <c r="A279"/>
      <c r="B279" t="e">
        <f>VLOOKUP(A279, Mats[], 8, 0)</f>
        <v>#N/A</v>
      </c>
      <c r="C279"/>
      <c r="D279" s="8"/>
      <c r="E279" s="8">
        <f t="shared" si="4"/>
        <v>0</v>
      </c>
    </row>
    <row r="280" spans="1:5" hidden="1" x14ac:dyDescent="0.25">
      <c r="A280"/>
      <c r="B280" t="e">
        <f>VLOOKUP(A280, Mats[], 8, 0)</f>
        <v>#N/A</v>
      </c>
      <c r="C280"/>
      <c r="D280" s="8"/>
      <c r="E280" s="8">
        <f t="shared" si="4"/>
        <v>0</v>
      </c>
    </row>
    <row r="281" spans="1:5" hidden="1" x14ac:dyDescent="0.25">
      <c r="A281"/>
      <c r="B281" t="e">
        <f>VLOOKUP(A281, Mats[], 8, 0)</f>
        <v>#N/A</v>
      </c>
      <c r="C281"/>
      <c r="D281" s="8"/>
      <c r="E281" s="8">
        <f t="shared" si="4"/>
        <v>0</v>
      </c>
    </row>
    <row r="282" spans="1:5" hidden="1" x14ac:dyDescent="0.25">
      <c r="A282"/>
      <c r="B282" t="e">
        <f>VLOOKUP(A282, Mats[], 8, 0)</f>
        <v>#N/A</v>
      </c>
      <c r="C282"/>
      <c r="D282" s="8"/>
      <c r="E282" s="8">
        <f t="shared" si="4"/>
        <v>0</v>
      </c>
    </row>
    <row r="283" spans="1:5" hidden="1" x14ac:dyDescent="0.25">
      <c r="A283"/>
      <c r="B283" t="e">
        <f>VLOOKUP(A283, Mats[], 8, 0)</f>
        <v>#N/A</v>
      </c>
      <c r="C283"/>
      <c r="D283" s="8"/>
      <c r="E283" s="8">
        <f t="shared" si="4"/>
        <v>0</v>
      </c>
    </row>
    <row r="284" spans="1:5" hidden="1" x14ac:dyDescent="0.25">
      <c r="A284"/>
      <c r="B284" t="e">
        <f>VLOOKUP(A284, Mats[], 8, 0)</f>
        <v>#N/A</v>
      </c>
      <c r="C284"/>
      <c r="D284" s="8"/>
      <c r="E284" s="8">
        <f t="shared" si="4"/>
        <v>0</v>
      </c>
    </row>
    <row r="285" spans="1:5" hidden="1" x14ac:dyDescent="0.25">
      <c r="A285"/>
      <c r="B285" t="e">
        <f>VLOOKUP(A285, Mats[], 8, 0)</f>
        <v>#N/A</v>
      </c>
      <c r="C285"/>
      <c r="D285" s="8"/>
      <c r="E285" s="8">
        <f t="shared" si="4"/>
        <v>0</v>
      </c>
    </row>
    <row r="286" spans="1:5" hidden="1" x14ac:dyDescent="0.25">
      <c r="A286"/>
      <c r="B286" t="e">
        <f>VLOOKUP(A286, Mats[], 8, 0)</f>
        <v>#N/A</v>
      </c>
      <c r="C286"/>
      <c r="D286" s="8"/>
      <c r="E286" s="8">
        <f t="shared" si="4"/>
        <v>0</v>
      </c>
    </row>
    <row r="287" spans="1:5" hidden="1" x14ac:dyDescent="0.25">
      <c r="A287"/>
      <c r="B287" t="e">
        <f>VLOOKUP(A287, Mats[], 8, 0)</f>
        <v>#N/A</v>
      </c>
      <c r="C287"/>
      <c r="D287" s="8"/>
      <c r="E287" s="8">
        <f t="shared" si="4"/>
        <v>0</v>
      </c>
    </row>
    <row r="288" spans="1:5" hidden="1" x14ac:dyDescent="0.25">
      <c r="A288"/>
      <c r="B288" t="e">
        <f>VLOOKUP(A288, Mats[], 8, 0)</f>
        <v>#N/A</v>
      </c>
      <c r="C288"/>
      <c r="D288" s="8"/>
      <c r="E288" s="8">
        <f t="shared" si="4"/>
        <v>0</v>
      </c>
    </row>
    <row r="289" spans="1:5" hidden="1" x14ac:dyDescent="0.25">
      <c r="A289"/>
      <c r="B289" t="e">
        <f>VLOOKUP(A289, Mats[], 8, 0)</f>
        <v>#N/A</v>
      </c>
      <c r="C289"/>
      <c r="D289" s="8"/>
      <c r="E289" s="8">
        <f t="shared" si="4"/>
        <v>0</v>
      </c>
    </row>
    <row r="290" spans="1:5" hidden="1" x14ac:dyDescent="0.25">
      <c r="A290"/>
      <c r="B290" t="e">
        <f>VLOOKUP(A290, Mats[], 8, 0)</f>
        <v>#N/A</v>
      </c>
      <c r="C290"/>
      <c r="D290" s="8"/>
      <c r="E290" s="8">
        <f t="shared" si="4"/>
        <v>0</v>
      </c>
    </row>
    <row r="291" spans="1:5" hidden="1" x14ac:dyDescent="0.25">
      <c r="A291"/>
      <c r="B291" t="e">
        <f>VLOOKUP(A291, Mats[], 8, 0)</f>
        <v>#N/A</v>
      </c>
      <c r="C291"/>
      <c r="D291" s="8"/>
      <c r="E291" s="8">
        <f t="shared" si="4"/>
        <v>0</v>
      </c>
    </row>
    <row r="292" spans="1:5" hidden="1" x14ac:dyDescent="0.25">
      <c r="A292"/>
      <c r="B292" t="e">
        <f>VLOOKUP(A292, Mats[], 8, 0)</f>
        <v>#N/A</v>
      </c>
      <c r="C292"/>
      <c r="D292" s="8"/>
      <c r="E292" s="8">
        <f t="shared" si="4"/>
        <v>0</v>
      </c>
    </row>
    <row r="293" spans="1:5" hidden="1" x14ac:dyDescent="0.25">
      <c r="A293"/>
      <c r="B293" t="e">
        <f>VLOOKUP(A293, Mats[], 8, 0)</f>
        <v>#N/A</v>
      </c>
      <c r="C293"/>
      <c r="D293" s="8"/>
      <c r="E293" s="8">
        <f t="shared" si="4"/>
        <v>0</v>
      </c>
    </row>
    <row r="294" spans="1:5" hidden="1" x14ac:dyDescent="0.25">
      <c r="A294"/>
      <c r="B294" t="e">
        <f>VLOOKUP(A294, Mats[], 8, 0)</f>
        <v>#N/A</v>
      </c>
      <c r="C294"/>
      <c r="D294" s="8"/>
      <c r="E294" s="8">
        <f t="shared" si="4"/>
        <v>0</v>
      </c>
    </row>
    <row r="295" spans="1:5" hidden="1" x14ac:dyDescent="0.25">
      <c r="A295"/>
      <c r="B295" t="e">
        <f>VLOOKUP(A295, Mats[], 8, 0)</f>
        <v>#N/A</v>
      </c>
      <c r="C295"/>
      <c r="D295" s="8"/>
      <c r="E295" s="8">
        <f t="shared" si="4"/>
        <v>0</v>
      </c>
    </row>
    <row r="296" spans="1:5" hidden="1" x14ac:dyDescent="0.25">
      <c r="A296"/>
      <c r="B296" t="e">
        <f>VLOOKUP(A296, Mats[], 8, 0)</f>
        <v>#N/A</v>
      </c>
      <c r="C296"/>
      <c r="D296" s="8"/>
      <c r="E296" s="8">
        <f t="shared" si="4"/>
        <v>0</v>
      </c>
    </row>
    <row r="297" spans="1:5" hidden="1" x14ac:dyDescent="0.25">
      <c r="A297"/>
      <c r="B297" t="e">
        <f>VLOOKUP(A297, Mats[], 8, 0)</f>
        <v>#N/A</v>
      </c>
      <c r="C297"/>
      <c r="D297" s="8"/>
      <c r="E297" s="8">
        <f t="shared" si="4"/>
        <v>0</v>
      </c>
    </row>
    <row r="298" spans="1:5" hidden="1" x14ac:dyDescent="0.25">
      <c r="A298"/>
      <c r="B298" t="e">
        <f>VLOOKUP(A298, Mats[], 8, 0)</f>
        <v>#N/A</v>
      </c>
      <c r="C298"/>
      <c r="D298" s="8"/>
      <c r="E298" s="8">
        <f t="shared" si="4"/>
        <v>0</v>
      </c>
    </row>
    <row r="299" spans="1:5" hidden="1" x14ac:dyDescent="0.25">
      <c r="A299"/>
      <c r="B299" t="e">
        <f>VLOOKUP(A299, Mats[], 8, 0)</f>
        <v>#N/A</v>
      </c>
      <c r="C299"/>
      <c r="D299" s="8"/>
      <c r="E299" s="8">
        <f t="shared" si="4"/>
        <v>0</v>
      </c>
    </row>
    <row r="300" spans="1:5" hidden="1" x14ac:dyDescent="0.25">
      <c r="A300"/>
      <c r="B300" t="e">
        <f>VLOOKUP(A300, Mats[], 8, 0)</f>
        <v>#N/A</v>
      </c>
      <c r="C300"/>
      <c r="D300" s="8"/>
      <c r="E300" s="8">
        <f t="shared" si="4"/>
        <v>0</v>
      </c>
    </row>
    <row r="301" spans="1:5" hidden="1" x14ac:dyDescent="0.25">
      <c r="A301"/>
      <c r="B301" t="e">
        <f>VLOOKUP(A301, Mats[], 8, 0)</f>
        <v>#N/A</v>
      </c>
      <c r="C301"/>
      <c r="D301" s="8"/>
      <c r="E301" s="8">
        <f t="shared" si="4"/>
        <v>0</v>
      </c>
    </row>
    <row r="302" spans="1:5" hidden="1" x14ac:dyDescent="0.25">
      <c r="A302"/>
      <c r="B302" t="e">
        <f>VLOOKUP(A302, Mats[], 8, 0)</f>
        <v>#N/A</v>
      </c>
      <c r="C302"/>
      <c r="D302" s="8"/>
      <c r="E302" s="8">
        <f t="shared" si="4"/>
        <v>0</v>
      </c>
    </row>
    <row r="303" spans="1:5" hidden="1" x14ac:dyDescent="0.25">
      <c r="A303"/>
      <c r="B303" t="e">
        <f>VLOOKUP(A303, Mats[], 8, 0)</f>
        <v>#N/A</v>
      </c>
      <c r="C303"/>
      <c r="D303" s="8"/>
      <c r="E303" s="8">
        <f t="shared" si="4"/>
        <v>0</v>
      </c>
    </row>
    <row r="304" spans="1:5" hidden="1" x14ac:dyDescent="0.25">
      <c r="A304"/>
      <c r="B304" t="e">
        <f>VLOOKUP(A304, Mats[], 8, 0)</f>
        <v>#N/A</v>
      </c>
      <c r="C304"/>
      <c r="D304" s="8"/>
      <c r="E304" s="8">
        <f t="shared" si="4"/>
        <v>0</v>
      </c>
    </row>
    <row r="305" spans="1:5" hidden="1" x14ac:dyDescent="0.25">
      <c r="A305"/>
      <c r="B305" t="e">
        <f>VLOOKUP(A305, Mats[], 8, 0)</f>
        <v>#N/A</v>
      </c>
      <c r="C305"/>
      <c r="D305" s="8"/>
      <c r="E305" s="8">
        <f t="shared" si="4"/>
        <v>0</v>
      </c>
    </row>
    <row r="306" spans="1:5" hidden="1" x14ac:dyDescent="0.25">
      <c r="A306"/>
      <c r="B306" t="e">
        <f>VLOOKUP(A306, Mats[], 8, 0)</f>
        <v>#N/A</v>
      </c>
      <c r="C306"/>
      <c r="D306" s="8"/>
      <c r="E306" s="8">
        <f t="shared" si="4"/>
        <v>0</v>
      </c>
    </row>
    <row r="307" spans="1:5" hidden="1" x14ac:dyDescent="0.25">
      <c r="A307"/>
      <c r="B307" t="e">
        <f>VLOOKUP(A307, Mats[], 8, 0)</f>
        <v>#N/A</v>
      </c>
      <c r="C307"/>
      <c r="D307" s="8"/>
      <c r="E307" s="8">
        <f t="shared" si="4"/>
        <v>0</v>
      </c>
    </row>
    <row r="308" spans="1:5" hidden="1" x14ac:dyDescent="0.25">
      <c r="A308"/>
      <c r="B308" t="e">
        <f>VLOOKUP(A308, Mats[], 8, 0)</f>
        <v>#N/A</v>
      </c>
      <c r="C308"/>
      <c r="D308" s="8"/>
      <c r="E308" s="8">
        <f t="shared" si="4"/>
        <v>0</v>
      </c>
    </row>
    <row r="309" spans="1:5" hidden="1" x14ac:dyDescent="0.25">
      <c r="A309"/>
      <c r="B309" t="e">
        <f>VLOOKUP(A309, Mats[], 8, 0)</f>
        <v>#N/A</v>
      </c>
      <c r="C309"/>
      <c r="D309" s="8"/>
      <c r="E309" s="8">
        <f t="shared" si="4"/>
        <v>0</v>
      </c>
    </row>
    <row r="310" spans="1:5" hidden="1" x14ac:dyDescent="0.25">
      <c r="A310"/>
      <c r="B310" t="e">
        <f>VLOOKUP(A310, Mats[], 8, 0)</f>
        <v>#N/A</v>
      </c>
      <c r="C310"/>
      <c r="D310" s="8"/>
      <c r="E310" s="8">
        <f t="shared" si="4"/>
        <v>0</v>
      </c>
    </row>
    <row r="311" spans="1:5" hidden="1" x14ac:dyDescent="0.25">
      <c r="A311"/>
      <c r="B311" t="e">
        <f>VLOOKUP(A311, Mats[], 8, 0)</f>
        <v>#N/A</v>
      </c>
      <c r="C311"/>
      <c r="D311" s="8"/>
      <c r="E311" s="8">
        <f t="shared" si="4"/>
        <v>0</v>
      </c>
    </row>
    <row r="312" spans="1:5" hidden="1" x14ac:dyDescent="0.25">
      <c r="A312"/>
      <c r="B312" t="e">
        <f>VLOOKUP(A312, Mats[], 8, 0)</f>
        <v>#N/A</v>
      </c>
      <c r="C312"/>
      <c r="D312" s="8"/>
      <c r="E312" s="8">
        <f t="shared" si="4"/>
        <v>0</v>
      </c>
    </row>
    <row r="313" spans="1:5" hidden="1" x14ac:dyDescent="0.25">
      <c r="A313"/>
      <c r="B313" t="e">
        <f>VLOOKUP(A313, Mats[], 8, 0)</f>
        <v>#N/A</v>
      </c>
      <c r="C313"/>
      <c r="D313" s="8"/>
      <c r="E313" s="8">
        <f t="shared" si="4"/>
        <v>0</v>
      </c>
    </row>
    <row r="314" spans="1:5" hidden="1" x14ac:dyDescent="0.25">
      <c r="A314"/>
      <c r="B314" t="e">
        <f>VLOOKUP(A314, Mats[], 8, 0)</f>
        <v>#N/A</v>
      </c>
      <c r="C314"/>
      <c r="D314" s="8"/>
      <c r="E314" s="8">
        <f t="shared" si="4"/>
        <v>0</v>
      </c>
    </row>
    <row r="315" spans="1:5" hidden="1" x14ac:dyDescent="0.25">
      <c r="A315"/>
      <c r="B315" t="e">
        <f>VLOOKUP(A315, Mats[], 8, 0)</f>
        <v>#N/A</v>
      </c>
      <c r="C315"/>
      <c r="D315" s="8"/>
      <c r="E315" s="8">
        <f t="shared" si="4"/>
        <v>0</v>
      </c>
    </row>
    <row r="316" spans="1:5" hidden="1" x14ac:dyDescent="0.25">
      <c r="A316"/>
      <c r="B316" t="e">
        <f>VLOOKUP(A316, Mats[], 8, 0)</f>
        <v>#N/A</v>
      </c>
      <c r="C316"/>
      <c r="D316" s="8"/>
      <c r="E316" s="8">
        <f t="shared" si="4"/>
        <v>0</v>
      </c>
    </row>
    <row r="317" spans="1:5" hidden="1" x14ac:dyDescent="0.25">
      <c r="A317"/>
      <c r="B317" t="e">
        <f>VLOOKUP(A317, Mats[], 8, 0)</f>
        <v>#N/A</v>
      </c>
      <c r="C317"/>
      <c r="D317" s="8"/>
      <c r="E317" s="8">
        <f t="shared" si="4"/>
        <v>0</v>
      </c>
    </row>
    <row r="318" spans="1:5" hidden="1" x14ac:dyDescent="0.25">
      <c r="A318"/>
      <c r="B318" t="e">
        <f>VLOOKUP(A318, Mats[], 8, 0)</f>
        <v>#N/A</v>
      </c>
      <c r="C318"/>
      <c r="D318" s="8"/>
      <c r="E318" s="8">
        <f t="shared" si="4"/>
        <v>0</v>
      </c>
    </row>
    <row r="319" spans="1:5" hidden="1" x14ac:dyDescent="0.25">
      <c r="A319"/>
      <c r="B319" t="e">
        <f>VLOOKUP(A319, Mats[], 8, 0)</f>
        <v>#N/A</v>
      </c>
      <c r="C319"/>
      <c r="D319" s="8"/>
      <c r="E319" s="8">
        <f t="shared" si="4"/>
        <v>0</v>
      </c>
    </row>
    <row r="320" spans="1:5" hidden="1" x14ac:dyDescent="0.25">
      <c r="A320"/>
      <c r="B320" t="e">
        <f>VLOOKUP(A320, Mats[], 8, 0)</f>
        <v>#N/A</v>
      </c>
      <c r="C320"/>
      <c r="D320" s="8"/>
      <c r="E320" s="8">
        <f t="shared" si="4"/>
        <v>0</v>
      </c>
    </row>
    <row r="321" spans="1:5" hidden="1" x14ac:dyDescent="0.25">
      <c r="A321"/>
      <c r="B321" t="e">
        <f>VLOOKUP(A321, Mats[], 8, 0)</f>
        <v>#N/A</v>
      </c>
      <c r="C321"/>
      <c r="D321" s="8"/>
      <c r="E321" s="8">
        <f t="shared" si="4"/>
        <v>0</v>
      </c>
    </row>
    <row r="322" spans="1:5" hidden="1" x14ac:dyDescent="0.25">
      <c r="A322"/>
      <c r="B322" t="e">
        <f>VLOOKUP(A322, Mats[], 8, 0)</f>
        <v>#N/A</v>
      </c>
      <c r="C322"/>
      <c r="D322" s="8"/>
      <c r="E322" s="8">
        <f t="shared" si="4"/>
        <v>0</v>
      </c>
    </row>
    <row r="323" spans="1:5" hidden="1" x14ac:dyDescent="0.25">
      <c r="A323"/>
      <c r="B323" t="e">
        <f>VLOOKUP(A323, Mats[], 8, 0)</f>
        <v>#N/A</v>
      </c>
      <c r="C323"/>
      <c r="D323" s="8"/>
      <c r="E323" s="8">
        <f t="shared" ref="E323:E386" si="5">IFERROR( IF( $I$1 = 0, 0, ROUNDUP( C323/B323, 0)*B323 - D323), 0)</f>
        <v>0</v>
      </c>
    </row>
    <row r="324" spans="1:5" hidden="1" x14ac:dyDescent="0.25">
      <c r="A324"/>
      <c r="B324" t="e">
        <f>VLOOKUP(A324, Mats[], 8, 0)</f>
        <v>#N/A</v>
      </c>
      <c r="C324"/>
      <c r="D324" s="8"/>
      <c r="E324" s="8">
        <f t="shared" si="5"/>
        <v>0</v>
      </c>
    </row>
    <row r="325" spans="1:5" hidden="1" x14ac:dyDescent="0.25">
      <c r="A325"/>
      <c r="B325" t="e">
        <f>VLOOKUP(A325, Mats[], 8, 0)</f>
        <v>#N/A</v>
      </c>
      <c r="C325"/>
      <c r="D325" s="8"/>
      <c r="E325" s="8">
        <f t="shared" si="5"/>
        <v>0</v>
      </c>
    </row>
    <row r="326" spans="1:5" hidden="1" x14ac:dyDescent="0.25">
      <c r="A326"/>
      <c r="B326" t="e">
        <f>VLOOKUP(A326, Mats[], 8, 0)</f>
        <v>#N/A</v>
      </c>
      <c r="C326"/>
      <c r="D326" s="8"/>
      <c r="E326" s="8">
        <f t="shared" si="5"/>
        <v>0</v>
      </c>
    </row>
    <row r="327" spans="1:5" hidden="1" x14ac:dyDescent="0.25">
      <c r="A327"/>
      <c r="B327" t="e">
        <f>VLOOKUP(A327, Mats[], 8, 0)</f>
        <v>#N/A</v>
      </c>
      <c r="C327"/>
      <c r="D327" s="8"/>
      <c r="E327" s="8">
        <f t="shared" si="5"/>
        <v>0</v>
      </c>
    </row>
    <row r="328" spans="1:5" hidden="1" x14ac:dyDescent="0.25">
      <c r="A328"/>
      <c r="B328" t="e">
        <f>VLOOKUP(A328, Mats[], 8, 0)</f>
        <v>#N/A</v>
      </c>
      <c r="C328"/>
      <c r="D328" s="8"/>
      <c r="E328" s="8">
        <f t="shared" si="5"/>
        <v>0</v>
      </c>
    </row>
    <row r="329" spans="1:5" hidden="1" x14ac:dyDescent="0.25">
      <c r="A329"/>
      <c r="B329" t="e">
        <f>VLOOKUP(A329, Mats[], 8, 0)</f>
        <v>#N/A</v>
      </c>
      <c r="C329"/>
      <c r="D329" s="8"/>
      <c r="E329" s="8">
        <f t="shared" si="5"/>
        <v>0</v>
      </c>
    </row>
    <row r="330" spans="1:5" hidden="1" x14ac:dyDescent="0.25">
      <c r="A330"/>
      <c r="B330" t="e">
        <f>VLOOKUP(A330, Mats[], 8, 0)</f>
        <v>#N/A</v>
      </c>
      <c r="C330"/>
      <c r="D330" s="8"/>
      <c r="E330" s="8">
        <f t="shared" si="5"/>
        <v>0</v>
      </c>
    </row>
    <row r="331" spans="1:5" hidden="1" x14ac:dyDescent="0.25">
      <c r="A331"/>
      <c r="B331" t="e">
        <f>VLOOKUP(A331, Mats[], 8, 0)</f>
        <v>#N/A</v>
      </c>
      <c r="C331"/>
      <c r="D331" s="8"/>
      <c r="E331" s="8">
        <f t="shared" si="5"/>
        <v>0</v>
      </c>
    </row>
    <row r="332" spans="1:5" hidden="1" x14ac:dyDescent="0.25">
      <c r="A332"/>
      <c r="B332" t="e">
        <f>VLOOKUP(A332, Mats[], 8, 0)</f>
        <v>#N/A</v>
      </c>
      <c r="C332"/>
      <c r="D332" s="8"/>
      <c r="E332" s="8">
        <f t="shared" si="5"/>
        <v>0</v>
      </c>
    </row>
    <row r="333" spans="1:5" hidden="1" x14ac:dyDescent="0.25">
      <c r="A333"/>
      <c r="B333" t="e">
        <f>VLOOKUP(A333, Mats[], 8, 0)</f>
        <v>#N/A</v>
      </c>
      <c r="C333"/>
      <c r="D333" s="8"/>
      <c r="E333" s="8">
        <f t="shared" si="5"/>
        <v>0</v>
      </c>
    </row>
    <row r="334" spans="1:5" hidden="1" x14ac:dyDescent="0.25">
      <c r="A334"/>
      <c r="B334" t="e">
        <f>VLOOKUP(A334, Mats[], 8, 0)</f>
        <v>#N/A</v>
      </c>
      <c r="C334"/>
      <c r="D334" s="8"/>
      <c r="E334" s="8">
        <f t="shared" si="5"/>
        <v>0</v>
      </c>
    </row>
    <row r="335" spans="1:5" hidden="1" x14ac:dyDescent="0.25">
      <c r="A335"/>
      <c r="B335" t="e">
        <f>VLOOKUP(A335, Mats[], 8, 0)</f>
        <v>#N/A</v>
      </c>
      <c r="C335"/>
      <c r="D335" s="8"/>
      <c r="E335" s="8">
        <f t="shared" si="5"/>
        <v>0</v>
      </c>
    </row>
    <row r="336" spans="1:5" hidden="1" x14ac:dyDescent="0.25">
      <c r="A336"/>
      <c r="B336" t="e">
        <f>VLOOKUP(A336, Mats[], 8, 0)</f>
        <v>#N/A</v>
      </c>
      <c r="C336"/>
      <c r="D336" s="8"/>
      <c r="E336" s="8">
        <f t="shared" si="5"/>
        <v>0</v>
      </c>
    </row>
    <row r="337" spans="1:5" hidden="1" x14ac:dyDescent="0.25">
      <c r="A337"/>
      <c r="B337" t="e">
        <f>VLOOKUP(A337, Mats[], 8, 0)</f>
        <v>#N/A</v>
      </c>
      <c r="C337"/>
      <c r="D337" s="8"/>
      <c r="E337" s="8">
        <f t="shared" si="5"/>
        <v>0</v>
      </c>
    </row>
    <row r="338" spans="1:5" hidden="1" x14ac:dyDescent="0.25">
      <c r="A338"/>
      <c r="B338" t="e">
        <f>VLOOKUP(A338, Mats[], 8, 0)</f>
        <v>#N/A</v>
      </c>
      <c r="C338"/>
      <c r="D338" s="8"/>
      <c r="E338" s="8">
        <f t="shared" si="5"/>
        <v>0</v>
      </c>
    </row>
    <row r="339" spans="1:5" hidden="1" x14ac:dyDescent="0.25">
      <c r="A339"/>
      <c r="B339" t="e">
        <f>VLOOKUP(A339, Mats[], 8, 0)</f>
        <v>#N/A</v>
      </c>
      <c r="C339"/>
      <c r="D339" s="8"/>
      <c r="E339" s="8">
        <f t="shared" si="5"/>
        <v>0</v>
      </c>
    </row>
    <row r="340" spans="1:5" hidden="1" x14ac:dyDescent="0.25">
      <c r="A340"/>
      <c r="B340" t="e">
        <f>VLOOKUP(A340, Mats[], 8, 0)</f>
        <v>#N/A</v>
      </c>
      <c r="C340"/>
      <c r="D340" s="8"/>
      <c r="E340" s="8">
        <f t="shared" si="5"/>
        <v>0</v>
      </c>
    </row>
    <row r="341" spans="1:5" hidden="1" x14ac:dyDescent="0.25">
      <c r="A341"/>
      <c r="B341" t="e">
        <f>VLOOKUP(A341, Mats[], 8, 0)</f>
        <v>#N/A</v>
      </c>
      <c r="C341"/>
      <c r="D341" s="8"/>
      <c r="E341" s="8">
        <f t="shared" si="5"/>
        <v>0</v>
      </c>
    </row>
    <row r="342" spans="1:5" hidden="1" x14ac:dyDescent="0.25">
      <c r="A342"/>
      <c r="B342" t="e">
        <f>VLOOKUP(A342, Mats[], 8, 0)</f>
        <v>#N/A</v>
      </c>
      <c r="C342"/>
      <c r="D342" s="8"/>
      <c r="E342" s="8">
        <f t="shared" si="5"/>
        <v>0</v>
      </c>
    </row>
    <row r="343" spans="1:5" hidden="1" x14ac:dyDescent="0.25">
      <c r="A343"/>
      <c r="B343" t="e">
        <f>VLOOKUP(A343, Mats[], 8, 0)</f>
        <v>#N/A</v>
      </c>
      <c r="C343"/>
      <c r="D343" s="8"/>
      <c r="E343" s="8">
        <f t="shared" si="5"/>
        <v>0</v>
      </c>
    </row>
    <row r="344" spans="1:5" hidden="1" x14ac:dyDescent="0.25">
      <c r="A344"/>
      <c r="B344" t="e">
        <f>VLOOKUP(A344, Mats[], 8, 0)</f>
        <v>#N/A</v>
      </c>
      <c r="C344"/>
      <c r="D344" s="8"/>
      <c r="E344" s="8">
        <f t="shared" si="5"/>
        <v>0</v>
      </c>
    </row>
    <row r="345" spans="1:5" hidden="1" x14ac:dyDescent="0.25">
      <c r="A345"/>
      <c r="B345" t="e">
        <f>VLOOKUP(A345, Mats[], 8, 0)</f>
        <v>#N/A</v>
      </c>
      <c r="C345"/>
      <c r="D345" s="8"/>
      <c r="E345" s="8">
        <f t="shared" si="5"/>
        <v>0</v>
      </c>
    </row>
    <row r="346" spans="1:5" hidden="1" x14ac:dyDescent="0.25">
      <c r="A346"/>
      <c r="B346" t="e">
        <f>VLOOKUP(A346, Mats[], 8, 0)</f>
        <v>#N/A</v>
      </c>
      <c r="C346"/>
      <c r="D346" s="8"/>
      <c r="E346" s="8">
        <f t="shared" si="5"/>
        <v>0</v>
      </c>
    </row>
    <row r="347" spans="1:5" hidden="1" x14ac:dyDescent="0.25">
      <c r="A347"/>
      <c r="B347" t="e">
        <f>VLOOKUP(A347, Mats[], 8, 0)</f>
        <v>#N/A</v>
      </c>
      <c r="C347"/>
      <c r="D347" s="8"/>
      <c r="E347" s="8">
        <f t="shared" si="5"/>
        <v>0</v>
      </c>
    </row>
    <row r="348" spans="1:5" hidden="1" x14ac:dyDescent="0.25">
      <c r="A348"/>
      <c r="B348" t="e">
        <f>VLOOKUP(A348, Mats[], 8, 0)</f>
        <v>#N/A</v>
      </c>
      <c r="C348"/>
      <c r="D348" s="8"/>
      <c r="E348" s="8">
        <f t="shared" si="5"/>
        <v>0</v>
      </c>
    </row>
    <row r="349" spans="1:5" hidden="1" x14ac:dyDescent="0.25">
      <c r="A349"/>
      <c r="B349" t="e">
        <f>VLOOKUP(A349, Mats[], 8, 0)</f>
        <v>#N/A</v>
      </c>
      <c r="C349"/>
      <c r="D349" s="8"/>
      <c r="E349" s="8">
        <f t="shared" si="5"/>
        <v>0</v>
      </c>
    </row>
    <row r="350" spans="1:5" hidden="1" x14ac:dyDescent="0.25">
      <c r="A350"/>
      <c r="B350" t="e">
        <f>VLOOKUP(A350, Mats[], 8, 0)</f>
        <v>#N/A</v>
      </c>
      <c r="C350"/>
      <c r="D350" s="8"/>
      <c r="E350" s="8">
        <f t="shared" si="5"/>
        <v>0</v>
      </c>
    </row>
    <row r="351" spans="1:5" hidden="1" x14ac:dyDescent="0.25">
      <c r="A351"/>
      <c r="B351" t="e">
        <f>VLOOKUP(A351, Mats[], 8, 0)</f>
        <v>#N/A</v>
      </c>
      <c r="C351"/>
      <c r="D351" s="8"/>
      <c r="E351" s="8">
        <f t="shared" si="5"/>
        <v>0</v>
      </c>
    </row>
    <row r="352" spans="1:5" hidden="1" x14ac:dyDescent="0.25">
      <c r="A352"/>
      <c r="B352" t="e">
        <f>VLOOKUP(A352, Mats[], 8, 0)</f>
        <v>#N/A</v>
      </c>
      <c r="C352"/>
      <c r="D352" s="8"/>
      <c r="E352" s="8">
        <f t="shared" si="5"/>
        <v>0</v>
      </c>
    </row>
    <row r="353" spans="1:5" hidden="1" x14ac:dyDescent="0.25">
      <c r="A353"/>
      <c r="B353" t="e">
        <f>VLOOKUP(A353, Mats[], 8, 0)</f>
        <v>#N/A</v>
      </c>
      <c r="C353"/>
      <c r="D353" s="8"/>
      <c r="E353" s="8">
        <f t="shared" si="5"/>
        <v>0</v>
      </c>
    </row>
    <row r="354" spans="1:5" hidden="1" x14ac:dyDescent="0.25">
      <c r="A354"/>
      <c r="B354" t="e">
        <f>VLOOKUP(A354, Mats[], 8, 0)</f>
        <v>#N/A</v>
      </c>
      <c r="C354"/>
      <c r="D354" s="8"/>
      <c r="E354" s="8">
        <f t="shared" si="5"/>
        <v>0</v>
      </c>
    </row>
    <row r="355" spans="1:5" hidden="1" x14ac:dyDescent="0.25">
      <c r="A355"/>
      <c r="B355" t="e">
        <f>VLOOKUP(A355, Mats[], 8, 0)</f>
        <v>#N/A</v>
      </c>
      <c r="C355"/>
      <c r="D355" s="8"/>
      <c r="E355" s="8">
        <f t="shared" si="5"/>
        <v>0</v>
      </c>
    </row>
    <row r="356" spans="1:5" hidden="1" x14ac:dyDescent="0.25">
      <c r="A356"/>
      <c r="B356" t="e">
        <f>VLOOKUP(A356, Mats[], 8, 0)</f>
        <v>#N/A</v>
      </c>
      <c r="C356"/>
      <c r="D356" s="8"/>
      <c r="E356" s="8">
        <f t="shared" si="5"/>
        <v>0</v>
      </c>
    </row>
    <row r="357" spans="1:5" hidden="1" x14ac:dyDescent="0.25">
      <c r="A357"/>
      <c r="B357" t="e">
        <f>VLOOKUP(A357, Mats[], 8, 0)</f>
        <v>#N/A</v>
      </c>
      <c r="C357"/>
      <c r="D357" s="8"/>
      <c r="E357" s="8">
        <f t="shared" si="5"/>
        <v>0</v>
      </c>
    </row>
    <row r="358" spans="1:5" hidden="1" x14ac:dyDescent="0.25">
      <c r="A358"/>
      <c r="B358" t="e">
        <f>VLOOKUP(A358, Mats[], 8, 0)</f>
        <v>#N/A</v>
      </c>
      <c r="C358"/>
      <c r="D358" s="8"/>
      <c r="E358" s="8">
        <f t="shared" si="5"/>
        <v>0</v>
      </c>
    </row>
    <row r="359" spans="1:5" hidden="1" x14ac:dyDescent="0.25">
      <c r="A359"/>
      <c r="B359" t="e">
        <f>VLOOKUP(A359, Mats[], 8, 0)</f>
        <v>#N/A</v>
      </c>
      <c r="C359"/>
      <c r="D359" s="8"/>
      <c r="E359" s="8">
        <f t="shared" si="5"/>
        <v>0</v>
      </c>
    </row>
    <row r="360" spans="1:5" hidden="1" x14ac:dyDescent="0.25">
      <c r="A360"/>
      <c r="B360" t="e">
        <f>VLOOKUP(A360, Mats[], 8, 0)</f>
        <v>#N/A</v>
      </c>
      <c r="C360"/>
      <c r="D360" s="8"/>
      <c r="E360" s="8">
        <f t="shared" si="5"/>
        <v>0</v>
      </c>
    </row>
    <row r="361" spans="1:5" hidden="1" x14ac:dyDescent="0.25">
      <c r="A361"/>
      <c r="B361" t="e">
        <f>VLOOKUP(A361, Mats[], 8, 0)</f>
        <v>#N/A</v>
      </c>
      <c r="C361"/>
      <c r="D361" s="8"/>
      <c r="E361" s="8">
        <f t="shared" si="5"/>
        <v>0</v>
      </c>
    </row>
    <row r="362" spans="1:5" hidden="1" x14ac:dyDescent="0.25">
      <c r="A362"/>
      <c r="B362" t="e">
        <f>VLOOKUP(A362, Mats[], 8, 0)</f>
        <v>#N/A</v>
      </c>
      <c r="C362"/>
      <c r="D362" s="8"/>
      <c r="E362" s="8">
        <f t="shared" si="5"/>
        <v>0</v>
      </c>
    </row>
    <row r="363" spans="1:5" hidden="1" x14ac:dyDescent="0.25">
      <c r="A363"/>
      <c r="B363" t="e">
        <f>VLOOKUP(A363, Mats[], 8, 0)</f>
        <v>#N/A</v>
      </c>
      <c r="C363"/>
      <c r="D363" s="8"/>
      <c r="E363" s="8">
        <f t="shared" si="5"/>
        <v>0</v>
      </c>
    </row>
    <row r="364" spans="1:5" hidden="1" x14ac:dyDescent="0.25">
      <c r="A364"/>
      <c r="B364" t="e">
        <f>VLOOKUP(A364, Mats[], 8, 0)</f>
        <v>#N/A</v>
      </c>
      <c r="C364"/>
      <c r="D364" s="8"/>
      <c r="E364" s="8">
        <f t="shared" si="5"/>
        <v>0</v>
      </c>
    </row>
    <row r="365" spans="1:5" hidden="1" x14ac:dyDescent="0.25">
      <c r="A365"/>
      <c r="B365" t="e">
        <f>VLOOKUP(A365, Mats[], 8, 0)</f>
        <v>#N/A</v>
      </c>
      <c r="C365"/>
      <c r="D365" s="8"/>
      <c r="E365" s="8">
        <f t="shared" si="5"/>
        <v>0</v>
      </c>
    </row>
    <row r="366" spans="1:5" hidden="1" x14ac:dyDescent="0.25">
      <c r="A366"/>
      <c r="B366" t="e">
        <f>VLOOKUP(A366, Mats[], 8, 0)</f>
        <v>#N/A</v>
      </c>
      <c r="C366"/>
      <c r="D366" s="8"/>
      <c r="E366" s="8">
        <f t="shared" si="5"/>
        <v>0</v>
      </c>
    </row>
    <row r="367" spans="1:5" hidden="1" x14ac:dyDescent="0.25">
      <c r="A367"/>
      <c r="B367" t="e">
        <f>VLOOKUP(A367, Mats[], 8, 0)</f>
        <v>#N/A</v>
      </c>
      <c r="C367"/>
      <c r="D367" s="8"/>
      <c r="E367" s="8">
        <f t="shared" si="5"/>
        <v>0</v>
      </c>
    </row>
    <row r="368" spans="1:5" hidden="1" x14ac:dyDescent="0.25">
      <c r="A368"/>
      <c r="B368" t="e">
        <f>VLOOKUP(A368, Mats[], 8, 0)</f>
        <v>#N/A</v>
      </c>
      <c r="C368"/>
      <c r="D368" s="8"/>
      <c r="E368" s="8">
        <f t="shared" si="5"/>
        <v>0</v>
      </c>
    </row>
    <row r="369" spans="1:5" hidden="1" x14ac:dyDescent="0.25">
      <c r="A369"/>
      <c r="B369" t="e">
        <f>VLOOKUP(A369, Mats[], 8, 0)</f>
        <v>#N/A</v>
      </c>
      <c r="C369"/>
      <c r="D369" s="8"/>
      <c r="E369" s="8">
        <f t="shared" si="5"/>
        <v>0</v>
      </c>
    </row>
    <row r="370" spans="1:5" hidden="1" x14ac:dyDescent="0.25">
      <c r="A370"/>
      <c r="B370" t="e">
        <f>VLOOKUP(A370, Mats[], 8, 0)</f>
        <v>#N/A</v>
      </c>
      <c r="C370"/>
      <c r="D370" s="8"/>
      <c r="E370" s="8">
        <f t="shared" si="5"/>
        <v>0</v>
      </c>
    </row>
    <row r="371" spans="1:5" hidden="1" x14ac:dyDescent="0.25">
      <c r="A371"/>
      <c r="B371" t="e">
        <f>VLOOKUP(A371, Mats[], 8, 0)</f>
        <v>#N/A</v>
      </c>
      <c r="C371"/>
      <c r="D371" s="8"/>
      <c r="E371" s="8">
        <f t="shared" si="5"/>
        <v>0</v>
      </c>
    </row>
    <row r="372" spans="1:5" hidden="1" x14ac:dyDescent="0.25">
      <c r="A372"/>
      <c r="B372" t="e">
        <f>VLOOKUP(A372, Mats[], 8, 0)</f>
        <v>#N/A</v>
      </c>
      <c r="C372"/>
      <c r="D372" s="8"/>
      <c r="E372" s="8">
        <f t="shared" si="5"/>
        <v>0</v>
      </c>
    </row>
    <row r="373" spans="1:5" hidden="1" x14ac:dyDescent="0.25">
      <c r="A373"/>
      <c r="B373" t="e">
        <f>VLOOKUP(A373, Mats[], 8, 0)</f>
        <v>#N/A</v>
      </c>
      <c r="C373"/>
      <c r="D373" s="8"/>
      <c r="E373" s="8">
        <f t="shared" si="5"/>
        <v>0</v>
      </c>
    </row>
    <row r="374" spans="1:5" hidden="1" x14ac:dyDescent="0.25">
      <c r="A374"/>
      <c r="B374" t="e">
        <f>VLOOKUP(A374, Mats[], 8, 0)</f>
        <v>#N/A</v>
      </c>
      <c r="C374"/>
      <c r="D374" s="8"/>
      <c r="E374" s="8">
        <f t="shared" si="5"/>
        <v>0</v>
      </c>
    </row>
    <row r="375" spans="1:5" hidden="1" x14ac:dyDescent="0.25">
      <c r="A375"/>
      <c r="B375" t="e">
        <f>VLOOKUP(A375, Mats[], 8, 0)</f>
        <v>#N/A</v>
      </c>
      <c r="C375"/>
      <c r="D375" s="8"/>
      <c r="E375" s="8">
        <f t="shared" si="5"/>
        <v>0</v>
      </c>
    </row>
    <row r="376" spans="1:5" hidden="1" x14ac:dyDescent="0.25">
      <c r="A376"/>
      <c r="B376" t="e">
        <f>VLOOKUP(A376, Mats[], 8, 0)</f>
        <v>#N/A</v>
      </c>
      <c r="C376"/>
      <c r="D376" s="8"/>
      <c r="E376" s="8">
        <f t="shared" si="5"/>
        <v>0</v>
      </c>
    </row>
    <row r="377" spans="1:5" hidden="1" x14ac:dyDescent="0.25">
      <c r="A377"/>
      <c r="B377" t="e">
        <f>VLOOKUP(A377, Mats[], 8, 0)</f>
        <v>#N/A</v>
      </c>
      <c r="C377"/>
      <c r="D377" s="8"/>
      <c r="E377" s="8">
        <f t="shared" si="5"/>
        <v>0</v>
      </c>
    </row>
    <row r="378" spans="1:5" hidden="1" x14ac:dyDescent="0.25">
      <c r="A378"/>
      <c r="B378" t="e">
        <f>VLOOKUP(A378, Mats[], 8, 0)</f>
        <v>#N/A</v>
      </c>
      <c r="C378"/>
      <c r="D378" s="8"/>
      <c r="E378" s="8">
        <f t="shared" si="5"/>
        <v>0</v>
      </c>
    </row>
    <row r="379" spans="1:5" hidden="1" x14ac:dyDescent="0.25">
      <c r="A379"/>
      <c r="B379" t="e">
        <f>VLOOKUP(A379, Mats[], 8, 0)</f>
        <v>#N/A</v>
      </c>
      <c r="C379"/>
      <c r="D379" s="8"/>
      <c r="E379" s="8">
        <f t="shared" si="5"/>
        <v>0</v>
      </c>
    </row>
    <row r="380" spans="1:5" hidden="1" x14ac:dyDescent="0.25">
      <c r="A380"/>
      <c r="B380" t="e">
        <f>VLOOKUP(A380, Mats[], 8, 0)</f>
        <v>#N/A</v>
      </c>
      <c r="C380"/>
      <c r="D380" s="8"/>
      <c r="E380" s="8">
        <f t="shared" si="5"/>
        <v>0</v>
      </c>
    </row>
    <row r="381" spans="1:5" hidden="1" x14ac:dyDescent="0.25">
      <c r="A381"/>
      <c r="B381" t="e">
        <f>VLOOKUP(A381, Mats[], 8, 0)</f>
        <v>#N/A</v>
      </c>
      <c r="C381"/>
      <c r="D381" s="8"/>
      <c r="E381" s="8">
        <f t="shared" si="5"/>
        <v>0</v>
      </c>
    </row>
    <row r="382" spans="1:5" hidden="1" x14ac:dyDescent="0.25">
      <c r="A382"/>
      <c r="B382" t="e">
        <f>VLOOKUP(A382, Mats[], 8, 0)</f>
        <v>#N/A</v>
      </c>
      <c r="C382"/>
      <c r="D382" s="8"/>
      <c r="E382" s="8">
        <f t="shared" si="5"/>
        <v>0</v>
      </c>
    </row>
    <row r="383" spans="1:5" hidden="1" x14ac:dyDescent="0.25">
      <c r="A383"/>
      <c r="B383" t="e">
        <f>VLOOKUP(A383, Mats[], 8, 0)</f>
        <v>#N/A</v>
      </c>
      <c r="C383"/>
      <c r="D383" s="8"/>
      <c r="E383" s="8">
        <f t="shared" si="5"/>
        <v>0</v>
      </c>
    </row>
    <row r="384" spans="1:5" hidden="1" x14ac:dyDescent="0.25">
      <c r="A384"/>
      <c r="B384" t="e">
        <f>VLOOKUP(A384, Mats[], 8, 0)</f>
        <v>#N/A</v>
      </c>
      <c r="C384"/>
      <c r="D384" s="8"/>
      <c r="E384" s="8">
        <f t="shared" si="5"/>
        <v>0</v>
      </c>
    </row>
    <row r="385" spans="1:5" hidden="1" x14ac:dyDescent="0.25">
      <c r="A385"/>
      <c r="B385" t="e">
        <f>VLOOKUP(A385, Mats[], 8, 0)</f>
        <v>#N/A</v>
      </c>
      <c r="C385"/>
      <c r="D385" s="8"/>
      <c r="E385" s="8">
        <f t="shared" si="5"/>
        <v>0</v>
      </c>
    </row>
    <row r="386" spans="1:5" hidden="1" x14ac:dyDescent="0.25">
      <c r="A386"/>
      <c r="B386" t="e">
        <f>VLOOKUP(A386, Mats[], 8, 0)</f>
        <v>#N/A</v>
      </c>
      <c r="C386"/>
      <c r="D386" s="8"/>
      <c r="E386" s="8">
        <f t="shared" si="5"/>
        <v>0</v>
      </c>
    </row>
    <row r="387" spans="1:5" hidden="1" x14ac:dyDescent="0.25">
      <c r="A387"/>
      <c r="B387" t="e">
        <f>VLOOKUP(A387, Mats[], 8, 0)</f>
        <v>#N/A</v>
      </c>
      <c r="C387"/>
      <c r="D387" s="8"/>
      <c r="E387" s="8">
        <f t="shared" ref="E387:E450" si="6">IFERROR( IF( $I$1 = 0, 0, ROUNDUP( C387/B387, 0)*B387 - D387), 0)</f>
        <v>0</v>
      </c>
    </row>
    <row r="388" spans="1:5" hidden="1" x14ac:dyDescent="0.25">
      <c r="A388"/>
      <c r="B388" t="e">
        <f>VLOOKUP(A388, Mats[], 8, 0)</f>
        <v>#N/A</v>
      </c>
      <c r="C388"/>
      <c r="D388" s="8"/>
      <c r="E388" s="8">
        <f t="shared" si="6"/>
        <v>0</v>
      </c>
    </row>
    <row r="389" spans="1:5" hidden="1" x14ac:dyDescent="0.25">
      <c r="A389"/>
      <c r="B389" t="e">
        <f>VLOOKUP(A389, Mats[], 8, 0)</f>
        <v>#N/A</v>
      </c>
      <c r="C389"/>
      <c r="D389" s="8"/>
      <c r="E389" s="8">
        <f t="shared" si="6"/>
        <v>0</v>
      </c>
    </row>
    <row r="390" spans="1:5" hidden="1" x14ac:dyDescent="0.25">
      <c r="A390"/>
      <c r="B390" t="e">
        <f>VLOOKUP(A390, Mats[], 8, 0)</f>
        <v>#N/A</v>
      </c>
      <c r="C390"/>
      <c r="D390" s="8"/>
      <c r="E390" s="8">
        <f t="shared" si="6"/>
        <v>0</v>
      </c>
    </row>
    <row r="391" spans="1:5" hidden="1" x14ac:dyDescent="0.25">
      <c r="A391"/>
      <c r="B391" t="e">
        <f>VLOOKUP(A391, Mats[], 8, 0)</f>
        <v>#N/A</v>
      </c>
      <c r="C391"/>
      <c r="D391" s="8"/>
      <c r="E391" s="8">
        <f t="shared" si="6"/>
        <v>0</v>
      </c>
    </row>
    <row r="392" spans="1:5" hidden="1" x14ac:dyDescent="0.25">
      <c r="A392"/>
      <c r="B392" t="e">
        <f>VLOOKUP(A392, Mats[], 8, 0)</f>
        <v>#N/A</v>
      </c>
      <c r="C392"/>
      <c r="D392" s="8"/>
      <c r="E392" s="8">
        <f t="shared" si="6"/>
        <v>0</v>
      </c>
    </row>
    <row r="393" spans="1:5" hidden="1" x14ac:dyDescent="0.25">
      <c r="A393"/>
      <c r="B393" t="e">
        <f>VLOOKUP(A393, Mats[], 8, 0)</f>
        <v>#N/A</v>
      </c>
      <c r="C393"/>
      <c r="D393" s="8"/>
      <c r="E393" s="8">
        <f t="shared" si="6"/>
        <v>0</v>
      </c>
    </row>
    <row r="394" spans="1:5" hidden="1" x14ac:dyDescent="0.25">
      <c r="A394"/>
      <c r="B394" t="e">
        <f>VLOOKUP(A394, Mats[], 8, 0)</f>
        <v>#N/A</v>
      </c>
      <c r="C394"/>
      <c r="D394" s="8"/>
      <c r="E394" s="8">
        <f t="shared" si="6"/>
        <v>0</v>
      </c>
    </row>
    <row r="395" spans="1:5" hidden="1" x14ac:dyDescent="0.25">
      <c r="A395"/>
      <c r="B395" t="e">
        <f>VLOOKUP(A395, Mats[], 8, 0)</f>
        <v>#N/A</v>
      </c>
      <c r="C395"/>
      <c r="D395" s="8"/>
      <c r="E395" s="8">
        <f t="shared" si="6"/>
        <v>0</v>
      </c>
    </row>
    <row r="396" spans="1:5" hidden="1" x14ac:dyDescent="0.25">
      <c r="A396"/>
      <c r="B396" t="e">
        <f>VLOOKUP(A396, Mats[], 8, 0)</f>
        <v>#N/A</v>
      </c>
      <c r="C396"/>
      <c r="D396" s="8"/>
      <c r="E396" s="8">
        <f t="shared" si="6"/>
        <v>0</v>
      </c>
    </row>
    <row r="397" spans="1:5" hidden="1" x14ac:dyDescent="0.25">
      <c r="A397"/>
      <c r="B397" t="e">
        <f>VLOOKUP(A397, Mats[], 8, 0)</f>
        <v>#N/A</v>
      </c>
      <c r="C397"/>
      <c r="D397" s="8"/>
      <c r="E397" s="8">
        <f t="shared" si="6"/>
        <v>0</v>
      </c>
    </row>
    <row r="398" spans="1:5" hidden="1" x14ac:dyDescent="0.25">
      <c r="A398"/>
      <c r="B398" t="e">
        <f>VLOOKUP(A398, Mats[], 8, 0)</f>
        <v>#N/A</v>
      </c>
      <c r="C398"/>
      <c r="D398" s="8"/>
      <c r="E398" s="8">
        <f t="shared" si="6"/>
        <v>0</v>
      </c>
    </row>
    <row r="399" spans="1:5" hidden="1" x14ac:dyDescent="0.25">
      <c r="A399"/>
      <c r="B399" t="e">
        <f>VLOOKUP(A399, Mats[], 8, 0)</f>
        <v>#N/A</v>
      </c>
      <c r="C399"/>
      <c r="D399" s="8"/>
      <c r="E399" s="8">
        <f t="shared" si="6"/>
        <v>0</v>
      </c>
    </row>
    <row r="400" spans="1:5" hidden="1" x14ac:dyDescent="0.25">
      <c r="A400"/>
      <c r="B400" t="e">
        <f>VLOOKUP(A400, Mats[], 8, 0)</f>
        <v>#N/A</v>
      </c>
      <c r="C400"/>
      <c r="D400" s="8"/>
      <c r="E400" s="8">
        <f t="shared" si="6"/>
        <v>0</v>
      </c>
    </row>
    <row r="401" spans="1:5" hidden="1" x14ac:dyDescent="0.25">
      <c r="A401"/>
      <c r="B401" t="e">
        <f>VLOOKUP(A401, Mats[], 8, 0)</f>
        <v>#N/A</v>
      </c>
      <c r="C401"/>
      <c r="D401" s="8"/>
      <c r="E401" s="8">
        <f t="shared" si="6"/>
        <v>0</v>
      </c>
    </row>
    <row r="402" spans="1:5" hidden="1" x14ac:dyDescent="0.25">
      <c r="A402"/>
      <c r="B402" t="e">
        <f>VLOOKUP(A402, Mats[], 8, 0)</f>
        <v>#N/A</v>
      </c>
      <c r="C402"/>
      <c r="D402" s="8"/>
      <c r="E402" s="8">
        <f t="shared" si="6"/>
        <v>0</v>
      </c>
    </row>
    <row r="403" spans="1:5" hidden="1" x14ac:dyDescent="0.25">
      <c r="A403"/>
      <c r="B403" t="e">
        <f>VLOOKUP(A403, Mats[], 8, 0)</f>
        <v>#N/A</v>
      </c>
      <c r="C403"/>
      <c r="D403" s="8"/>
      <c r="E403" s="8">
        <f t="shared" si="6"/>
        <v>0</v>
      </c>
    </row>
    <row r="404" spans="1:5" hidden="1" x14ac:dyDescent="0.25">
      <c r="A404"/>
      <c r="B404" t="e">
        <f>VLOOKUP(A404, Mats[], 8, 0)</f>
        <v>#N/A</v>
      </c>
      <c r="C404"/>
      <c r="D404" s="8"/>
      <c r="E404" s="8">
        <f t="shared" si="6"/>
        <v>0</v>
      </c>
    </row>
    <row r="405" spans="1:5" hidden="1" x14ac:dyDescent="0.25">
      <c r="A405"/>
      <c r="B405" t="e">
        <f>VLOOKUP(A405, Mats[], 8, 0)</f>
        <v>#N/A</v>
      </c>
      <c r="C405"/>
      <c r="D405" s="8"/>
      <c r="E405" s="8">
        <f t="shared" si="6"/>
        <v>0</v>
      </c>
    </row>
    <row r="406" spans="1:5" hidden="1" x14ac:dyDescent="0.25">
      <c r="A406"/>
      <c r="B406" t="e">
        <f>VLOOKUP(A406, Mats[], 8, 0)</f>
        <v>#N/A</v>
      </c>
      <c r="C406"/>
      <c r="D406" s="8"/>
      <c r="E406" s="8">
        <f t="shared" si="6"/>
        <v>0</v>
      </c>
    </row>
    <row r="407" spans="1:5" hidden="1" x14ac:dyDescent="0.25">
      <c r="A407"/>
      <c r="B407" t="e">
        <f>VLOOKUP(A407, Mats[], 8, 0)</f>
        <v>#N/A</v>
      </c>
      <c r="C407"/>
      <c r="D407" s="8"/>
      <c r="E407" s="8">
        <f t="shared" si="6"/>
        <v>0</v>
      </c>
    </row>
    <row r="408" spans="1:5" hidden="1" x14ac:dyDescent="0.25">
      <c r="A408"/>
      <c r="B408" t="e">
        <f>VLOOKUP(A408, Mats[], 8, 0)</f>
        <v>#N/A</v>
      </c>
      <c r="C408"/>
      <c r="D408" s="8"/>
      <c r="E408" s="8">
        <f t="shared" si="6"/>
        <v>0</v>
      </c>
    </row>
    <row r="409" spans="1:5" hidden="1" x14ac:dyDescent="0.25">
      <c r="A409"/>
      <c r="B409" t="e">
        <f>VLOOKUP(A409, Mats[], 8, 0)</f>
        <v>#N/A</v>
      </c>
      <c r="C409"/>
      <c r="D409" s="8"/>
      <c r="E409" s="8">
        <f t="shared" si="6"/>
        <v>0</v>
      </c>
    </row>
    <row r="410" spans="1:5" hidden="1" x14ac:dyDescent="0.25">
      <c r="A410"/>
      <c r="B410" t="e">
        <f>VLOOKUP(A410, Mats[], 8, 0)</f>
        <v>#N/A</v>
      </c>
      <c r="C410"/>
      <c r="D410" s="8"/>
      <c r="E410" s="8">
        <f t="shared" si="6"/>
        <v>0</v>
      </c>
    </row>
    <row r="411" spans="1:5" hidden="1" x14ac:dyDescent="0.25">
      <c r="A411"/>
      <c r="B411" t="e">
        <f>VLOOKUP(A411, Mats[], 8, 0)</f>
        <v>#N/A</v>
      </c>
      <c r="C411"/>
      <c r="D411" s="8"/>
      <c r="E411" s="8">
        <f t="shared" si="6"/>
        <v>0</v>
      </c>
    </row>
    <row r="412" spans="1:5" hidden="1" x14ac:dyDescent="0.25">
      <c r="A412"/>
      <c r="B412" t="e">
        <f>VLOOKUP(A412, Mats[], 8, 0)</f>
        <v>#N/A</v>
      </c>
      <c r="C412"/>
      <c r="D412" s="8"/>
      <c r="E412" s="8">
        <f t="shared" si="6"/>
        <v>0</v>
      </c>
    </row>
    <row r="413" spans="1:5" hidden="1" x14ac:dyDescent="0.25">
      <c r="A413"/>
      <c r="B413" t="e">
        <f>VLOOKUP(A413, Mats[], 8, 0)</f>
        <v>#N/A</v>
      </c>
      <c r="C413"/>
      <c r="D413" s="8"/>
      <c r="E413" s="8">
        <f t="shared" si="6"/>
        <v>0</v>
      </c>
    </row>
    <row r="414" spans="1:5" hidden="1" x14ac:dyDescent="0.25">
      <c r="A414"/>
      <c r="B414" t="e">
        <f>VLOOKUP(A414, Mats[], 8, 0)</f>
        <v>#N/A</v>
      </c>
      <c r="C414"/>
      <c r="D414" s="8"/>
      <c r="E414" s="8">
        <f t="shared" si="6"/>
        <v>0</v>
      </c>
    </row>
    <row r="415" spans="1:5" hidden="1" x14ac:dyDescent="0.25">
      <c r="A415"/>
      <c r="B415" t="e">
        <f>VLOOKUP(A415, Mats[], 8, 0)</f>
        <v>#N/A</v>
      </c>
      <c r="C415"/>
      <c r="D415" s="8"/>
      <c r="E415" s="8">
        <f t="shared" si="6"/>
        <v>0</v>
      </c>
    </row>
    <row r="416" spans="1:5" hidden="1" x14ac:dyDescent="0.25">
      <c r="A416"/>
      <c r="B416" t="e">
        <f>VLOOKUP(A416, Mats[], 8, 0)</f>
        <v>#N/A</v>
      </c>
      <c r="C416"/>
      <c r="D416" s="8"/>
      <c r="E416" s="8">
        <f t="shared" si="6"/>
        <v>0</v>
      </c>
    </row>
    <row r="417" spans="1:5" hidden="1" x14ac:dyDescent="0.25">
      <c r="A417"/>
      <c r="B417" t="e">
        <f>VLOOKUP(A417, Mats[], 8, 0)</f>
        <v>#N/A</v>
      </c>
      <c r="C417"/>
      <c r="D417" s="8"/>
      <c r="E417" s="8">
        <f t="shared" si="6"/>
        <v>0</v>
      </c>
    </row>
    <row r="418" spans="1:5" hidden="1" x14ac:dyDescent="0.25">
      <c r="A418"/>
      <c r="B418" t="e">
        <f>VLOOKUP(A418, Mats[], 8, 0)</f>
        <v>#N/A</v>
      </c>
      <c r="C418"/>
      <c r="D418" s="8"/>
      <c r="E418" s="8">
        <f t="shared" si="6"/>
        <v>0</v>
      </c>
    </row>
    <row r="419" spans="1:5" hidden="1" x14ac:dyDescent="0.25">
      <c r="A419"/>
      <c r="B419" t="e">
        <f>VLOOKUP(A419, Mats[], 8, 0)</f>
        <v>#N/A</v>
      </c>
      <c r="C419"/>
      <c r="D419" s="8"/>
      <c r="E419" s="8">
        <f t="shared" si="6"/>
        <v>0</v>
      </c>
    </row>
    <row r="420" spans="1:5" hidden="1" x14ac:dyDescent="0.25">
      <c r="A420"/>
      <c r="B420" t="e">
        <f>VLOOKUP(A420, Mats[], 8, 0)</f>
        <v>#N/A</v>
      </c>
      <c r="C420"/>
      <c r="D420" s="8"/>
      <c r="E420" s="8">
        <f t="shared" si="6"/>
        <v>0</v>
      </c>
    </row>
    <row r="421" spans="1:5" hidden="1" x14ac:dyDescent="0.25">
      <c r="A421"/>
      <c r="B421" t="e">
        <f>VLOOKUP(A421, Mats[], 8, 0)</f>
        <v>#N/A</v>
      </c>
      <c r="C421"/>
      <c r="D421" s="8"/>
      <c r="E421" s="8">
        <f t="shared" si="6"/>
        <v>0</v>
      </c>
    </row>
    <row r="422" spans="1:5" hidden="1" x14ac:dyDescent="0.25">
      <c r="A422"/>
      <c r="B422" t="e">
        <f>VLOOKUP(A422, Mats[], 8, 0)</f>
        <v>#N/A</v>
      </c>
      <c r="C422"/>
      <c r="D422" s="8"/>
      <c r="E422" s="8">
        <f t="shared" si="6"/>
        <v>0</v>
      </c>
    </row>
    <row r="423" spans="1:5" hidden="1" x14ac:dyDescent="0.25">
      <c r="A423"/>
      <c r="B423" t="e">
        <f>VLOOKUP(A423, Mats[], 8, 0)</f>
        <v>#N/A</v>
      </c>
      <c r="C423"/>
      <c r="D423" s="8"/>
      <c r="E423" s="8">
        <f t="shared" si="6"/>
        <v>0</v>
      </c>
    </row>
    <row r="424" spans="1:5" hidden="1" x14ac:dyDescent="0.25">
      <c r="A424"/>
      <c r="B424" t="e">
        <f>VLOOKUP(A424, Mats[], 8, 0)</f>
        <v>#N/A</v>
      </c>
      <c r="C424"/>
      <c r="D424" s="8"/>
      <c r="E424" s="8">
        <f t="shared" si="6"/>
        <v>0</v>
      </c>
    </row>
    <row r="425" spans="1:5" hidden="1" x14ac:dyDescent="0.25">
      <c r="A425"/>
      <c r="B425" t="e">
        <f>VLOOKUP(A425, Mats[], 8, 0)</f>
        <v>#N/A</v>
      </c>
      <c r="C425"/>
      <c r="D425" s="8"/>
      <c r="E425" s="8">
        <f t="shared" si="6"/>
        <v>0</v>
      </c>
    </row>
    <row r="426" spans="1:5" hidden="1" x14ac:dyDescent="0.25">
      <c r="A426"/>
      <c r="B426" t="e">
        <f>VLOOKUP(A426, Mats[], 8, 0)</f>
        <v>#N/A</v>
      </c>
      <c r="C426"/>
      <c r="D426" s="8"/>
      <c r="E426" s="8">
        <f t="shared" si="6"/>
        <v>0</v>
      </c>
    </row>
    <row r="427" spans="1:5" hidden="1" x14ac:dyDescent="0.25">
      <c r="A427"/>
      <c r="B427" t="e">
        <f>VLOOKUP(A427, Mats[], 8, 0)</f>
        <v>#N/A</v>
      </c>
      <c r="C427"/>
      <c r="D427" s="8"/>
      <c r="E427" s="8">
        <f t="shared" si="6"/>
        <v>0</v>
      </c>
    </row>
    <row r="428" spans="1:5" hidden="1" x14ac:dyDescent="0.25">
      <c r="A428"/>
      <c r="B428" t="e">
        <f>VLOOKUP(A428, Mats[], 8, 0)</f>
        <v>#N/A</v>
      </c>
      <c r="C428"/>
      <c r="D428" s="8"/>
      <c r="E428" s="8">
        <f t="shared" si="6"/>
        <v>0</v>
      </c>
    </row>
    <row r="429" spans="1:5" hidden="1" x14ac:dyDescent="0.25">
      <c r="A429"/>
      <c r="B429" t="e">
        <f>VLOOKUP(A429, Mats[], 8, 0)</f>
        <v>#N/A</v>
      </c>
      <c r="C429"/>
      <c r="D429" s="8"/>
      <c r="E429" s="8">
        <f t="shared" si="6"/>
        <v>0</v>
      </c>
    </row>
    <row r="430" spans="1:5" hidden="1" x14ac:dyDescent="0.25">
      <c r="A430"/>
      <c r="B430" t="e">
        <f>VLOOKUP(A430, Mats[], 8, 0)</f>
        <v>#N/A</v>
      </c>
      <c r="C430"/>
      <c r="D430" s="8"/>
      <c r="E430" s="8">
        <f t="shared" si="6"/>
        <v>0</v>
      </c>
    </row>
    <row r="431" spans="1:5" hidden="1" x14ac:dyDescent="0.25">
      <c r="A431"/>
      <c r="B431" t="e">
        <f>VLOOKUP(A431, Mats[], 8, 0)</f>
        <v>#N/A</v>
      </c>
      <c r="C431"/>
      <c r="D431" s="8"/>
      <c r="E431" s="8">
        <f t="shared" si="6"/>
        <v>0</v>
      </c>
    </row>
    <row r="432" spans="1:5" hidden="1" x14ac:dyDescent="0.25">
      <c r="A432"/>
      <c r="B432" t="e">
        <f>VLOOKUP(A432, Mats[], 8, 0)</f>
        <v>#N/A</v>
      </c>
      <c r="C432"/>
      <c r="D432" s="8"/>
      <c r="E432" s="8">
        <f t="shared" si="6"/>
        <v>0</v>
      </c>
    </row>
    <row r="433" spans="1:5" hidden="1" x14ac:dyDescent="0.25">
      <c r="A433"/>
      <c r="B433" t="e">
        <f>VLOOKUP(A433, Mats[], 8, 0)</f>
        <v>#N/A</v>
      </c>
      <c r="C433"/>
      <c r="D433" s="8"/>
      <c r="E433" s="8">
        <f t="shared" si="6"/>
        <v>0</v>
      </c>
    </row>
    <row r="434" spans="1:5" hidden="1" x14ac:dyDescent="0.25">
      <c r="A434"/>
      <c r="B434" t="e">
        <f>VLOOKUP(A434, Mats[], 8, 0)</f>
        <v>#N/A</v>
      </c>
      <c r="C434"/>
      <c r="D434" s="8"/>
      <c r="E434" s="8">
        <f t="shared" si="6"/>
        <v>0</v>
      </c>
    </row>
    <row r="435" spans="1:5" hidden="1" x14ac:dyDescent="0.25">
      <c r="A435"/>
      <c r="B435" t="e">
        <f>VLOOKUP(A435, Mats[], 8, 0)</f>
        <v>#N/A</v>
      </c>
      <c r="C435"/>
      <c r="D435" s="8"/>
      <c r="E435" s="8">
        <f t="shared" si="6"/>
        <v>0</v>
      </c>
    </row>
    <row r="436" spans="1:5" hidden="1" x14ac:dyDescent="0.25">
      <c r="A436"/>
      <c r="B436" t="e">
        <f>VLOOKUP(A436, Mats[], 8, 0)</f>
        <v>#N/A</v>
      </c>
      <c r="C436"/>
      <c r="D436" s="8"/>
      <c r="E436" s="8">
        <f t="shared" si="6"/>
        <v>0</v>
      </c>
    </row>
    <row r="437" spans="1:5" hidden="1" x14ac:dyDescent="0.25">
      <c r="A437"/>
      <c r="B437" t="e">
        <f>VLOOKUP(A437, Mats[], 8, 0)</f>
        <v>#N/A</v>
      </c>
      <c r="C437"/>
      <c r="D437" s="8"/>
      <c r="E437" s="8">
        <f t="shared" si="6"/>
        <v>0</v>
      </c>
    </row>
    <row r="438" spans="1:5" hidden="1" x14ac:dyDescent="0.25">
      <c r="A438"/>
      <c r="B438" t="e">
        <f>VLOOKUP(A438, Mats[], 8, 0)</f>
        <v>#N/A</v>
      </c>
      <c r="C438"/>
      <c r="D438" s="8"/>
      <c r="E438" s="8">
        <f t="shared" si="6"/>
        <v>0</v>
      </c>
    </row>
    <row r="439" spans="1:5" hidden="1" x14ac:dyDescent="0.25">
      <c r="A439"/>
      <c r="B439" t="e">
        <f>VLOOKUP(A439, Mats[], 8, 0)</f>
        <v>#N/A</v>
      </c>
      <c r="C439"/>
      <c r="D439" s="8"/>
      <c r="E439" s="8">
        <f t="shared" si="6"/>
        <v>0</v>
      </c>
    </row>
    <row r="440" spans="1:5" hidden="1" x14ac:dyDescent="0.25">
      <c r="A440"/>
      <c r="B440" t="e">
        <f>VLOOKUP(A440, Mats[], 8, 0)</f>
        <v>#N/A</v>
      </c>
      <c r="C440"/>
      <c r="D440" s="8"/>
      <c r="E440" s="8">
        <f t="shared" si="6"/>
        <v>0</v>
      </c>
    </row>
    <row r="441" spans="1:5" hidden="1" x14ac:dyDescent="0.25">
      <c r="A441"/>
      <c r="B441" t="e">
        <f>VLOOKUP(A441, Mats[], 8, 0)</f>
        <v>#N/A</v>
      </c>
      <c r="C441"/>
      <c r="D441" s="8"/>
      <c r="E441" s="8">
        <f t="shared" si="6"/>
        <v>0</v>
      </c>
    </row>
    <row r="442" spans="1:5" hidden="1" x14ac:dyDescent="0.25">
      <c r="A442"/>
      <c r="B442" t="e">
        <f>VLOOKUP(A442, Mats[], 8, 0)</f>
        <v>#N/A</v>
      </c>
      <c r="C442"/>
      <c r="D442" s="8"/>
      <c r="E442" s="8">
        <f t="shared" si="6"/>
        <v>0</v>
      </c>
    </row>
    <row r="443" spans="1:5" hidden="1" x14ac:dyDescent="0.25">
      <c r="A443"/>
      <c r="B443" t="e">
        <f>VLOOKUP(A443, Mats[], 8, 0)</f>
        <v>#N/A</v>
      </c>
      <c r="C443"/>
      <c r="D443" s="8"/>
      <c r="E443" s="8">
        <f t="shared" si="6"/>
        <v>0</v>
      </c>
    </row>
    <row r="444" spans="1:5" hidden="1" x14ac:dyDescent="0.25">
      <c r="A444"/>
      <c r="B444" t="e">
        <f>VLOOKUP(A444, Mats[], 8, 0)</f>
        <v>#N/A</v>
      </c>
      <c r="C444"/>
      <c r="D444" s="8"/>
      <c r="E444" s="8">
        <f t="shared" si="6"/>
        <v>0</v>
      </c>
    </row>
    <row r="445" spans="1:5" hidden="1" x14ac:dyDescent="0.25">
      <c r="A445"/>
      <c r="B445" t="e">
        <f>VLOOKUP(A445, Mats[], 8, 0)</f>
        <v>#N/A</v>
      </c>
      <c r="C445"/>
      <c r="D445" s="8"/>
      <c r="E445" s="8">
        <f t="shared" si="6"/>
        <v>0</v>
      </c>
    </row>
    <row r="446" spans="1:5" hidden="1" x14ac:dyDescent="0.25">
      <c r="A446"/>
      <c r="B446" t="e">
        <f>VLOOKUP(A446, Mats[], 8, 0)</f>
        <v>#N/A</v>
      </c>
      <c r="C446"/>
      <c r="D446" s="8"/>
      <c r="E446" s="8">
        <f t="shared" si="6"/>
        <v>0</v>
      </c>
    </row>
    <row r="447" spans="1:5" hidden="1" x14ac:dyDescent="0.25">
      <c r="A447"/>
      <c r="B447" t="e">
        <f>VLOOKUP(A447, Mats[], 8, 0)</f>
        <v>#N/A</v>
      </c>
      <c r="C447"/>
      <c r="D447" s="8"/>
      <c r="E447" s="8">
        <f t="shared" si="6"/>
        <v>0</v>
      </c>
    </row>
    <row r="448" spans="1:5" hidden="1" x14ac:dyDescent="0.25">
      <c r="A448"/>
      <c r="B448" t="e">
        <f>VLOOKUP(A448, Mats[], 8, 0)</f>
        <v>#N/A</v>
      </c>
      <c r="C448"/>
      <c r="D448" s="8"/>
      <c r="E448" s="8">
        <f t="shared" si="6"/>
        <v>0</v>
      </c>
    </row>
    <row r="449" spans="1:5" hidden="1" x14ac:dyDescent="0.25">
      <c r="A449"/>
      <c r="B449" t="e">
        <f>VLOOKUP(A449, Mats[], 8, 0)</f>
        <v>#N/A</v>
      </c>
      <c r="C449"/>
      <c r="D449" s="8"/>
      <c r="E449" s="8">
        <f t="shared" si="6"/>
        <v>0</v>
      </c>
    </row>
    <row r="450" spans="1:5" hidden="1" x14ac:dyDescent="0.25">
      <c r="A450"/>
      <c r="B450" t="e">
        <f>VLOOKUP(A450, Mats[], 8, 0)</f>
        <v>#N/A</v>
      </c>
      <c r="C450"/>
      <c r="D450" s="8"/>
      <c r="E450" s="8">
        <f t="shared" si="6"/>
        <v>0</v>
      </c>
    </row>
    <row r="451" spans="1:5" hidden="1" x14ac:dyDescent="0.25">
      <c r="A451"/>
      <c r="B451" t="e">
        <f>VLOOKUP(A451, Mats[], 8, 0)</f>
        <v>#N/A</v>
      </c>
      <c r="C451"/>
      <c r="D451" s="8"/>
      <c r="E451" s="8">
        <f t="shared" ref="E451:E500" si="7">IFERROR( IF( $I$1 = 0, 0, ROUNDUP( C451/B451, 0)*B451 - D451), 0)</f>
        <v>0</v>
      </c>
    </row>
    <row r="452" spans="1:5" hidden="1" x14ac:dyDescent="0.25">
      <c r="A452"/>
      <c r="B452" t="e">
        <f>VLOOKUP(A452, Mats[], 8, 0)</f>
        <v>#N/A</v>
      </c>
      <c r="C452"/>
      <c r="D452" s="8"/>
      <c r="E452" s="8">
        <f t="shared" si="7"/>
        <v>0</v>
      </c>
    </row>
    <row r="453" spans="1:5" hidden="1" x14ac:dyDescent="0.25">
      <c r="A453"/>
      <c r="B453" t="e">
        <f>VLOOKUP(A453, Mats[], 8, 0)</f>
        <v>#N/A</v>
      </c>
      <c r="C453"/>
      <c r="D453" s="8"/>
      <c r="E453" s="8">
        <f t="shared" si="7"/>
        <v>0</v>
      </c>
    </row>
    <row r="454" spans="1:5" hidden="1" x14ac:dyDescent="0.25">
      <c r="A454"/>
      <c r="B454" t="e">
        <f>VLOOKUP(A454, Mats[], 8, 0)</f>
        <v>#N/A</v>
      </c>
      <c r="C454"/>
      <c r="D454" s="8"/>
      <c r="E454" s="8">
        <f t="shared" si="7"/>
        <v>0</v>
      </c>
    </row>
    <row r="455" spans="1:5" hidden="1" x14ac:dyDescent="0.25">
      <c r="A455"/>
      <c r="B455" t="e">
        <f>VLOOKUP(A455, Mats[], 8, 0)</f>
        <v>#N/A</v>
      </c>
      <c r="C455"/>
      <c r="D455" s="8"/>
      <c r="E455" s="8">
        <f t="shared" si="7"/>
        <v>0</v>
      </c>
    </row>
    <row r="456" spans="1:5" hidden="1" x14ac:dyDescent="0.25">
      <c r="A456"/>
      <c r="B456" t="e">
        <f>VLOOKUP(A456, Mats[], 8, 0)</f>
        <v>#N/A</v>
      </c>
      <c r="C456"/>
      <c r="D456" s="8"/>
      <c r="E456" s="8">
        <f t="shared" si="7"/>
        <v>0</v>
      </c>
    </row>
    <row r="457" spans="1:5" hidden="1" x14ac:dyDescent="0.25">
      <c r="A457"/>
      <c r="B457" t="e">
        <f>VLOOKUP(A457, Mats[], 8, 0)</f>
        <v>#N/A</v>
      </c>
      <c r="C457"/>
      <c r="D457" s="8"/>
      <c r="E457" s="8">
        <f t="shared" si="7"/>
        <v>0</v>
      </c>
    </row>
    <row r="458" spans="1:5" hidden="1" x14ac:dyDescent="0.25">
      <c r="A458"/>
      <c r="B458" t="e">
        <f>VLOOKUP(A458, Mats[], 8, 0)</f>
        <v>#N/A</v>
      </c>
      <c r="C458"/>
      <c r="D458" s="8"/>
      <c r="E458" s="8">
        <f t="shared" si="7"/>
        <v>0</v>
      </c>
    </row>
    <row r="459" spans="1:5" hidden="1" x14ac:dyDescent="0.25">
      <c r="A459"/>
      <c r="B459" t="e">
        <f>VLOOKUP(A459, Mats[], 8, 0)</f>
        <v>#N/A</v>
      </c>
      <c r="C459"/>
      <c r="D459" s="8"/>
      <c r="E459" s="8">
        <f t="shared" si="7"/>
        <v>0</v>
      </c>
    </row>
    <row r="460" spans="1:5" hidden="1" x14ac:dyDescent="0.25">
      <c r="A460"/>
      <c r="B460" t="e">
        <f>VLOOKUP(A460, Mats[], 8, 0)</f>
        <v>#N/A</v>
      </c>
      <c r="C460"/>
      <c r="D460" s="8"/>
      <c r="E460" s="8">
        <f t="shared" si="7"/>
        <v>0</v>
      </c>
    </row>
    <row r="461" spans="1:5" hidden="1" x14ac:dyDescent="0.25">
      <c r="A461"/>
      <c r="B461" t="e">
        <f>VLOOKUP(A461, Mats[], 8, 0)</f>
        <v>#N/A</v>
      </c>
      <c r="C461"/>
      <c r="D461" s="8"/>
      <c r="E461" s="8">
        <f t="shared" si="7"/>
        <v>0</v>
      </c>
    </row>
    <row r="462" spans="1:5" hidden="1" x14ac:dyDescent="0.25">
      <c r="A462"/>
      <c r="B462" t="e">
        <f>VLOOKUP(A462, Mats[], 8, 0)</f>
        <v>#N/A</v>
      </c>
      <c r="C462"/>
      <c r="D462" s="8"/>
      <c r="E462" s="8">
        <f t="shared" si="7"/>
        <v>0</v>
      </c>
    </row>
    <row r="463" spans="1:5" hidden="1" x14ac:dyDescent="0.25">
      <c r="A463"/>
      <c r="B463" t="e">
        <f>VLOOKUP(A463, Mats[], 8, 0)</f>
        <v>#N/A</v>
      </c>
      <c r="C463"/>
      <c r="D463" s="8"/>
      <c r="E463" s="8">
        <f t="shared" si="7"/>
        <v>0</v>
      </c>
    </row>
    <row r="464" spans="1:5" hidden="1" x14ac:dyDescent="0.25">
      <c r="A464"/>
      <c r="B464" t="e">
        <f>VLOOKUP(A464, Mats[], 8, 0)</f>
        <v>#N/A</v>
      </c>
      <c r="C464"/>
      <c r="D464" s="8"/>
      <c r="E464" s="8">
        <f t="shared" si="7"/>
        <v>0</v>
      </c>
    </row>
    <row r="465" spans="1:5" hidden="1" x14ac:dyDescent="0.25">
      <c r="A465"/>
      <c r="B465" t="e">
        <f>VLOOKUP(A465, Mats[], 8, 0)</f>
        <v>#N/A</v>
      </c>
      <c r="C465"/>
      <c r="D465" s="8"/>
      <c r="E465" s="8">
        <f t="shared" si="7"/>
        <v>0</v>
      </c>
    </row>
    <row r="466" spans="1:5" hidden="1" x14ac:dyDescent="0.25">
      <c r="A466"/>
      <c r="B466" t="e">
        <f>VLOOKUP(A466, Mats[], 8, 0)</f>
        <v>#N/A</v>
      </c>
      <c r="C466"/>
      <c r="D466" s="8"/>
      <c r="E466" s="8">
        <f t="shared" si="7"/>
        <v>0</v>
      </c>
    </row>
    <row r="467" spans="1:5" hidden="1" x14ac:dyDescent="0.25">
      <c r="A467"/>
      <c r="B467" t="e">
        <f>VLOOKUP(A467, Mats[], 8, 0)</f>
        <v>#N/A</v>
      </c>
      <c r="C467"/>
      <c r="D467" s="8"/>
      <c r="E467" s="8">
        <f t="shared" si="7"/>
        <v>0</v>
      </c>
    </row>
    <row r="468" spans="1:5" hidden="1" x14ac:dyDescent="0.25">
      <c r="A468"/>
      <c r="B468" t="e">
        <f>VLOOKUP(A468, Mats[], 8, 0)</f>
        <v>#N/A</v>
      </c>
      <c r="C468"/>
      <c r="D468" s="8"/>
      <c r="E468" s="8">
        <f t="shared" si="7"/>
        <v>0</v>
      </c>
    </row>
    <row r="469" spans="1:5" hidden="1" x14ac:dyDescent="0.25">
      <c r="A469"/>
      <c r="B469" t="e">
        <f>VLOOKUP(A469, Mats[], 8, 0)</f>
        <v>#N/A</v>
      </c>
      <c r="C469"/>
      <c r="D469" s="8"/>
      <c r="E469" s="8">
        <f t="shared" si="7"/>
        <v>0</v>
      </c>
    </row>
    <row r="470" spans="1:5" hidden="1" x14ac:dyDescent="0.25">
      <c r="A470"/>
      <c r="B470" t="e">
        <f>VLOOKUP(A470, Mats[], 8, 0)</f>
        <v>#N/A</v>
      </c>
      <c r="C470"/>
      <c r="D470" s="8"/>
      <c r="E470" s="8">
        <f t="shared" si="7"/>
        <v>0</v>
      </c>
    </row>
    <row r="471" spans="1:5" hidden="1" x14ac:dyDescent="0.25">
      <c r="A471"/>
      <c r="B471" t="e">
        <f>VLOOKUP(A471, Mats[], 8, 0)</f>
        <v>#N/A</v>
      </c>
      <c r="C471"/>
      <c r="D471" s="8"/>
      <c r="E471" s="8">
        <f t="shared" si="7"/>
        <v>0</v>
      </c>
    </row>
    <row r="472" spans="1:5" hidden="1" x14ac:dyDescent="0.25">
      <c r="A472"/>
      <c r="B472" t="e">
        <f>VLOOKUP(A472, Mats[], 8, 0)</f>
        <v>#N/A</v>
      </c>
      <c r="C472"/>
      <c r="D472" s="8"/>
      <c r="E472" s="8">
        <f t="shared" si="7"/>
        <v>0</v>
      </c>
    </row>
    <row r="473" spans="1:5" hidden="1" x14ac:dyDescent="0.25">
      <c r="A473"/>
      <c r="B473" t="e">
        <f>VLOOKUP(A473, Mats[], 8, 0)</f>
        <v>#N/A</v>
      </c>
      <c r="C473"/>
      <c r="D473" s="8"/>
      <c r="E473" s="8">
        <f t="shared" si="7"/>
        <v>0</v>
      </c>
    </row>
    <row r="474" spans="1:5" hidden="1" x14ac:dyDescent="0.25">
      <c r="A474"/>
      <c r="B474" t="e">
        <f>VLOOKUP(A474, Mats[], 8, 0)</f>
        <v>#N/A</v>
      </c>
      <c r="C474"/>
      <c r="D474" s="8"/>
      <c r="E474" s="8">
        <f t="shared" si="7"/>
        <v>0</v>
      </c>
    </row>
    <row r="475" spans="1:5" hidden="1" x14ac:dyDescent="0.25">
      <c r="A475"/>
      <c r="B475" t="e">
        <f>VLOOKUP(A475, Mats[], 8, 0)</f>
        <v>#N/A</v>
      </c>
      <c r="C475"/>
      <c r="D475" s="8"/>
      <c r="E475" s="8">
        <f t="shared" si="7"/>
        <v>0</v>
      </c>
    </row>
    <row r="476" spans="1:5" hidden="1" x14ac:dyDescent="0.25">
      <c r="A476"/>
      <c r="B476" t="e">
        <f>VLOOKUP(A476, Mats[], 8, 0)</f>
        <v>#N/A</v>
      </c>
      <c r="C476"/>
      <c r="D476" s="8"/>
      <c r="E476" s="8">
        <f t="shared" si="7"/>
        <v>0</v>
      </c>
    </row>
    <row r="477" spans="1:5" hidden="1" x14ac:dyDescent="0.25">
      <c r="A477"/>
      <c r="B477" t="e">
        <f>VLOOKUP(A477, Mats[], 8, 0)</f>
        <v>#N/A</v>
      </c>
      <c r="C477"/>
      <c r="D477" s="8"/>
      <c r="E477" s="8">
        <f t="shared" si="7"/>
        <v>0</v>
      </c>
    </row>
    <row r="478" spans="1:5" hidden="1" x14ac:dyDescent="0.25">
      <c r="A478"/>
      <c r="B478" t="e">
        <f>VLOOKUP(A478, Mats[], 8, 0)</f>
        <v>#N/A</v>
      </c>
      <c r="C478"/>
      <c r="D478" s="8"/>
      <c r="E478" s="8">
        <f t="shared" si="7"/>
        <v>0</v>
      </c>
    </row>
    <row r="479" spans="1:5" hidden="1" x14ac:dyDescent="0.25">
      <c r="A479"/>
      <c r="B479" t="e">
        <f>VLOOKUP(A479, Mats[], 8, 0)</f>
        <v>#N/A</v>
      </c>
      <c r="C479"/>
      <c r="D479" s="8"/>
      <c r="E479" s="8">
        <f t="shared" si="7"/>
        <v>0</v>
      </c>
    </row>
    <row r="480" spans="1:5" hidden="1" x14ac:dyDescent="0.25">
      <c r="A480"/>
      <c r="B480" t="e">
        <f>VLOOKUP(A480, Mats[], 8, 0)</f>
        <v>#N/A</v>
      </c>
      <c r="C480"/>
      <c r="D480" s="8"/>
      <c r="E480" s="8">
        <f t="shared" si="7"/>
        <v>0</v>
      </c>
    </row>
    <row r="481" spans="1:5" hidden="1" x14ac:dyDescent="0.25">
      <c r="A481"/>
      <c r="B481" t="e">
        <f>VLOOKUP(A481, Mats[], 8, 0)</f>
        <v>#N/A</v>
      </c>
      <c r="C481"/>
      <c r="D481" s="8"/>
      <c r="E481" s="8">
        <f t="shared" si="7"/>
        <v>0</v>
      </c>
    </row>
    <row r="482" spans="1:5" hidden="1" x14ac:dyDescent="0.25">
      <c r="A482"/>
      <c r="B482" t="e">
        <f>VLOOKUP(A482, Mats[], 8, 0)</f>
        <v>#N/A</v>
      </c>
      <c r="C482"/>
      <c r="D482" s="8"/>
      <c r="E482" s="8">
        <f t="shared" si="7"/>
        <v>0</v>
      </c>
    </row>
    <row r="483" spans="1:5" hidden="1" x14ac:dyDescent="0.25">
      <c r="A483"/>
      <c r="B483" t="e">
        <f>VLOOKUP(A483, Mats[], 8, 0)</f>
        <v>#N/A</v>
      </c>
      <c r="C483"/>
      <c r="D483" s="8"/>
      <c r="E483" s="8">
        <f t="shared" si="7"/>
        <v>0</v>
      </c>
    </row>
    <row r="484" spans="1:5" hidden="1" x14ac:dyDescent="0.25">
      <c r="A484"/>
      <c r="B484" t="e">
        <f>VLOOKUP(A484, Mats[], 8, 0)</f>
        <v>#N/A</v>
      </c>
      <c r="C484"/>
      <c r="D484" s="8"/>
      <c r="E484" s="8">
        <f t="shared" si="7"/>
        <v>0</v>
      </c>
    </row>
    <row r="485" spans="1:5" hidden="1" x14ac:dyDescent="0.25">
      <c r="A485"/>
      <c r="B485" t="e">
        <f>VLOOKUP(A485, Mats[], 8, 0)</f>
        <v>#N/A</v>
      </c>
      <c r="C485"/>
      <c r="D485" s="8"/>
      <c r="E485" s="8">
        <f t="shared" si="7"/>
        <v>0</v>
      </c>
    </row>
    <row r="486" spans="1:5" hidden="1" x14ac:dyDescent="0.25">
      <c r="A486"/>
      <c r="B486" t="e">
        <f>VLOOKUP(A486, Mats[], 8, 0)</f>
        <v>#N/A</v>
      </c>
      <c r="C486"/>
      <c r="D486" s="8"/>
      <c r="E486" s="8">
        <f t="shared" si="7"/>
        <v>0</v>
      </c>
    </row>
    <row r="487" spans="1:5" hidden="1" x14ac:dyDescent="0.25">
      <c r="A487"/>
      <c r="B487" t="e">
        <f>VLOOKUP(A487, Mats[], 8, 0)</f>
        <v>#N/A</v>
      </c>
      <c r="C487"/>
      <c r="D487" s="8"/>
      <c r="E487" s="8">
        <f t="shared" si="7"/>
        <v>0</v>
      </c>
    </row>
    <row r="488" spans="1:5" hidden="1" x14ac:dyDescent="0.25">
      <c r="A488"/>
      <c r="B488" t="e">
        <f>VLOOKUP(A488, Mats[], 8, 0)</f>
        <v>#N/A</v>
      </c>
      <c r="C488"/>
      <c r="D488" s="8"/>
      <c r="E488" s="8">
        <f t="shared" si="7"/>
        <v>0</v>
      </c>
    </row>
    <row r="489" spans="1:5" hidden="1" x14ac:dyDescent="0.25">
      <c r="A489"/>
      <c r="B489" t="e">
        <f>VLOOKUP(A489, Mats[], 8, 0)</f>
        <v>#N/A</v>
      </c>
      <c r="C489"/>
      <c r="D489" s="8"/>
      <c r="E489" s="8">
        <f t="shared" si="7"/>
        <v>0</v>
      </c>
    </row>
    <row r="490" spans="1:5" hidden="1" x14ac:dyDescent="0.25">
      <c r="A490"/>
      <c r="B490" t="e">
        <f>VLOOKUP(A490, Mats[], 8, 0)</f>
        <v>#N/A</v>
      </c>
      <c r="C490"/>
      <c r="D490" s="8"/>
      <c r="E490" s="8">
        <f t="shared" si="7"/>
        <v>0</v>
      </c>
    </row>
    <row r="491" spans="1:5" hidden="1" x14ac:dyDescent="0.25">
      <c r="A491"/>
      <c r="B491" t="e">
        <f>VLOOKUP(A491, Mats[], 8, 0)</f>
        <v>#N/A</v>
      </c>
      <c r="C491"/>
      <c r="D491" s="8"/>
      <c r="E491" s="8">
        <f t="shared" si="7"/>
        <v>0</v>
      </c>
    </row>
    <row r="492" spans="1:5" hidden="1" x14ac:dyDescent="0.25">
      <c r="A492"/>
      <c r="B492" t="e">
        <f>VLOOKUP(A492, Mats[], 8, 0)</f>
        <v>#N/A</v>
      </c>
      <c r="C492"/>
      <c r="D492" s="8"/>
      <c r="E492" s="8">
        <f t="shared" si="7"/>
        <v>0</v>
      </c>
    </row>
    <row r="493" spans="1:5" hidden="1" x14ac:dyDescent="0.25">
      <c r="A493"/>
      <c r="B493" t="e">
        <f>VLOOKUP(A493, Mats[], 8, 0)</f>
        <v>#N/A</v>
      </c>
      <c r="C493"/>
      <c r="D493" s="8"/>
      <c r="E493" s="8">
        <f t="shared" si="7"/>
        <v>0</v>
      </c>
    </row>
    <row r="494" spans="1:5" hidden="1" x14ac:dyDescent="0.25">
      <c r="A494"/>
      <c r="B494" t="e">
        <f>VLOOKUP(A494, Mats[], 8, 0)</f>
        <v>#N/A</v>
      </c>
      <c r="C494"/>
      <c r="D494" s="8"/>
      <c r="E494" s="8">
        <f t="shared" si="7"/>
        <v>0</v>
      </c>
    </row>
    <row r="495" spans="1:5" hidden="1" x14ac:dyDescent="0.25">
      <c r="A495"/>
      <c r="B495" t="e">
        <f>VLOOKUP(A495, Mats[], 8, 0)</f>
        <v>#N/A</v>
      </c>
      <c r="C495"/>
      <c r="D495" s="8"/>
      <c r="E495" s="8">
        <f t="shared" si="7"/>
        <v>0</v>
      </c>
    </row>
    <row r="496" spans="1:5" hidden="1" x14ac:dyDescent="0.25">
      <c r="A496"/>
      <c r="B496" t="e">
        <f>VLOOKUP(A496, Mats[], 8, 0)</f>
        <v>#N/A</v>
      </c>
      <c r="C496"/>
      <c r="D496" s="8"/>
      <c r="E496" s="8">
        <f t="shared" si="7"/>
        <v>0</v>
      </c>
    </row>
    <row r="497" spans="1:5" hidden="1" x14ac:dyDescent="0.25">
      <c r="A497"/>
      <c r="B497" t="e">
        <f>VLOOKUP(A497, Mats[], 8, 0)</f>
        <v>#N/A</v>
      </c>
      <c r="C497"/>
      <c r="D497" s="8"/>
      <c r="E497" s="8">
        <f t="shared" si="7"/>
        <v>0</v>
      </c>
    </row>
    <row r="498" spans="1:5" hidden="1" x14ac:dyDescent="0.25">
      <c r="A498"/>
      <c r="B498" t="e">
        <f>VLOOKUP(A498, Mats[], 8, 0)</f>
        <v>#N/A</v>
      </c>
      <c r="C498"/>
      <c r="D498" s="8"/>
      <c r="E498" s="8">
        <f t="shared" si="7"/>
        <v>0</v>
      </c>
    </row>
    <row r="499" spans="1:5" hidden="1" x14ac:dyDescent="0.25">
      <c r="A499"/>
      <c r="B499" t="e">
        <f>VLOOKUP(A499, Mats[], 8, 0)</f>
        <v>#N/A</v>
      </c>
      <c r="C499"/>
      <c r="D499" s="8"/>
      <c r="E499" s="8">
        <f t="shared" si="7"/>
        <v>0</v>
      </c>
    </row>
    <row r="500" spans="1:5" hidden="1" x14ac:dyDescent="0.25">
      <c r="A500"/>
      <c r="B500" t="e">
        <f>VLOOKUP(A500, Mats[], 8, 0)</f>
        <v>#N/A</v>
      </c>
      <c r="C500"/>
      <c r="D500" s="8"/>
      <c r="E500" s="8">
        <f t="shared" si="7"/>
        <v>0</v>
      </c>
    </row>
    <row r="501" spans="1:5" ht="15.75" thickTop="1" x14ac:dyDescent="0.25"/>
  </sheetData>
  <autoFilter ref="A1:E500">
    <filterColumn colId="4">
      <customFilters>
        <customFilter operator="notEqual" val="0"/>
      </customFilters>
    </filterColumn>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4" r:id="rId3" name="Button 4">
              <controlPr defaultSize="0" print="0" autoFill="0" autoPict="0" macro="[0]!Sheet6.addtoBOM">
                <anchor moveWithCells="1" sizeWithCells="1">
                  <from>
                    <xdr:col>5</xdr:col>
                    <xdr:colOff>85725</xdr:colOff>
                    <xdr:row>0</xdr:row>
                    <xdr:rowOff>9525</xdr:rowOff>
                  </from>
                  <to>
                    <xdr:col>6</xdr:col>
                    <xdr:colOff>514350</xdr:colOff>
                    <xdr:row>0</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
  <sheetViews>
    <sheetView zoomScale="85" zoomScaleNormal="85" workbookViewId="0">
      <pane ySplit="1" topLeftCell="A2" activePane="bottomLeft" state="frozen"/>
      <selection pane="bottomLeft" activeCell="A2" sqref="A2"/>
    </sheetView>
  </sheetViews>
  <sheetFormatPr defaultColWidth="8.7109375" defaultRowHeight="15" x14ac:dyDescent="0.25"/>
  <cols>
    <col min="1" max="1" width="13.28515625" bestFit="1" customWidth="1"/>
    <col min="2" max="2" width="15" bestFit="1" customWidth="1"/>
    <col min="3" max="3" width="53.5703125" bestFit="1" customWidth="1"/>
    <col min="4" max="4" width="15" bestFit="1" customWidth="1"/>
    <col min="5" max="5" width="42.5703125" bestFit="1" customWidth="1"/>
    <col min="6" max="6" width="13.42578125" bestFit="1" customWidth="1"/>
    <col min="7" max="7" width="11.85546875" bestFit="1" customWidth="1"/>
    <col min="8" max="9" width="8.7109375" style="7"/>
    <col min="10" max="10" width="12.5703125" style="7" customWidth="1"/>
    <col min="11" max="11" width="9" style="7" customWidth="1"/>
    <col min="12" max="12" width="10.85546875" style="7" bestFit="1" customWidth="1"/>
    <col min="13" max="13" width="13.42578125" style="7" bestFit="1" customWidth="1"/>
    <col min="14" max="14" width="10.7109375" style="7" bestFit="1" customWidth="1"/>
    <col min="15" max="16384" width="8.7109375" style="7"/>
  </cols>
  <sheetData>
    <row r="1" spans="1:7" x14ac:dyDescent="0.25">
      <c r="A1" t="s">
        <v>2022</v>
      </c>
      <c r="B1" t="s">
        <v>2084</v>
      </c>
      <c r="C1" t="s">
        <v>2032</v>
      </c>
      <c r="D1" t="s">
        <v>2083</v>
      </c>
      <c r="E1" t="s">
        <v>2033</v>
      </c>
      <c r="F1" t="s">
        <v>2021</v>
      </c>
      <c r="G1" t="s">
        <v>2019</v>
      </c>
    </row>
    <row r="2" spans="1:7" x14ac:dyDescent="0.25">
      <c r="C2" t="e">
        <f>VLOOKUP(MinorMajors[Major Part ID], Mats[], 2, 0)</f>
        <v>#N/A</v>
      </c>
      <c r="E2" t="e">
        <f>VLOOKUP(MinorMajors[Minor Part ID], Mats[], 2, 0)</f>
        <v>#N/A</v>
      </c>
      <c r="G2" t="e">
        <f>VLOOKUP(MinorMajors[Major Part ID], Mats[], 4, 0)*MinorMajors['# per Major]</f>
        <v>#N/A</v>
      </c>
    </row>
  </sheetData>
  <dataValidations count="1">
    <dataValidation type="list" allowBlank="1" showInputMessage="1" showErrorMessage="1" sqref="A2">
      <formula1>INDIRECT("BuildTypes")</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heetViews>
  <sheetFormatPr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3"/>
  <sheetViews>
    <sheetView topLeftCell="B1" workbookViewId="0">
      <selection activeCell="B1" sqref="B1"/>
    </sheetView>
  </sheetViews>
  <sheetFormatPr defaultRowHeight="15" x14ac:dyDescent="0.25"/>
  <cols>
    <col min="1" max="1" width="14.28515625" customWidth="1"/>
    <col min="3" max="3" width="12.28515625" customWidth="1"/>
    <col min="5" max="5" width="12.140625" bestFit="1" customWidth="1"/>
    <col min="6" max="6" width="12.7109375" customWidth="1"/>
    <col min="7" max="7" width="55" customWidth="1"/>
    <col min="8" max="8" width="9.28515625" bestFit="1" customWidth="1"/>
    <col min="9" max="9" width="4.85546875" bestFit="1" customWidth="1"/>
    <col min="10" max="10" width="11.42578125" bestFit="1" customWidth="1"/>
    <col min="11" max="11" width="10.7109375" bestFit="1" customWidth="1"/>
    <col min="12" max="12" width="10.42578125" bestFit="1" customWidth="1"/>
    <col min="14" max="14" width="10.5703125" customWidth="1"/>
  </cols>
  <sheetData>
    <row r="1" spans="1:16" x14ac:dyDescent="0.25">
      <c r="A1" t="s">
        <v>2015</v>
      </c>
      <c r="C1" t="s">
        <v>2023</v>
      </c>
      <c r="E1" s="10" t="s">
        <v>2026</v>
      </c>
      <c r="F1" s="10"/>
      <c r="G1" s="13"/>
      <c r="H1" s="13"/>
      <c r="I1" s="13"/>
      <c r="J1" s="13"/>
      <c r="K1" s="13"/>
      <c r="L1" s="13"/>
      <c r="N1" t="s">
        <v>2035</v>
      </c>
      <c r="O1" t="s">
        <v>2036</v>
      </c>
      <c r="P1" t="s">
        <v>2037</v>
      </c>
    </row>
    <row r="2" spans="1:16" x14ac:dyDescent="0.25">
      <c r="C2" t="s">
        <v>2085</v>
      </c>
      <c r="E2" s="10" t="s">
        <v>2027</v>
      </c>
      <c r="F2" s="10"/>
      <c r="G2" s="13"/>
      <c r="H2" s="13"/>
      <c r="I2" s="13"/>
      <c r="J2" s="13"/>
      <c r="K2" s="13"/>
      <c r="L2" s="13"/>
    </row>
    <row r="3" spans="1:16" x14ac:dyDescent="0.25">
      <c r="E3" s="14" t="s">
        <v>2082</v>
      </c>
      <c r="F3" s="14" t="s">
        <v>2073</v>
      </c>
      <c r="G3" s="14" t="s">
        <v>2031</v>
      </c>
      <c r="H3" s="14" t="s">
        <v>2034</v>
      </c>
      <c r="I3" s="14" t="s">
        <v>27</v>
      </c>
      <c r="J3" s="14" t="s">
        <v>2028</v>
      </c>
      <c r="K3" s="14" t="s">
        <v>2029</v>
      </c>
      <c r="L3" s="14" t="s">
        <v>2030</v>
      </c>
    </row>
  </sheetData>
  <pageMargins left="0.7" right="0.7" top="0.75" bottom="0.75" header="0.3" footer="0.3"/>
  <tableParts count="3">
    <tablePart r:id="rId1"/>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b1f84035869e4da78e5c1c4395a2f4dd xmlns="444dcbe6-2984-44c9-ad1d-c408aedeb99e" xsi:nil="true"/>
    <TaxCatchAll xmlns="b1c35433-24da-4795-a671-3a8333ab6e95"/>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Ledcor Project Document" ma:contentTypeID="0x010100448D6A67BD47C84381C04A1FAAB45D6E0100047EDD40E72E7640B15FEB79EA0BF169" ma:contentTypeVersion="17" ma:contentTypeDescription="Create a new Ledcor Project Document." ma:contentTypeScope="" ma:versionID="8a83fa7ce4cb20c251bb11ba8613143a">
  <xsd:schema xmlns:xsd="http://www.w3.org/2001/XMLSchema" xmlns:xs="http://www.w3.org/2001/XMLSchema" xmlns:p="http://schemas.microsoft.com/office/2006/metadata/properties" xmlns:ns2="b1c35433-24da-4795-a671-3a8333ab6e95" xmlns:ns3="444dcbe6-2984-44c9-ad1d-c408aedeb99e" xmlns:ns4="bac40444-6559-41d6-ad07-41a29bef029e" targetNamespace="http://schemas.microsoft.com/office/2006/metadata/properties" ma:root="true" ma:fieldsID="a06f741890655c18a058552f6b7ef430" ns2:_="" ns3:_="" ns4:_="">
    <xsd:import namespace="b1c35433-24da-4795-a671-3a8333ab6e95"/>
    <xsd:import namespace="444dcbe6-2984-44c9-ad1d-c408aedeb99e"/>
    <xsd:import namespace="bac40444-6559-41d6-ad07-41a29bef029e"/>
    <xsd:element name="properties">
      <xsd:complexType>
        <xsd:sequence>
          <xsd:element name="documentManagement">
            <xsd:complexType>
              <xsd:all>
                <xsd:element ref="ns2:TaxCatchAll" minOccurs="0"/>
                <xsd:element ref="ns2:TaxCatchAllLabel" minOccurs="0"/>
                <xsd:element ref="ns3:b1f84035869e4da78e5c1c4395a2f4dd" minOccurs="0"/>
                <xsd:element ref="ns3:SharedWithUsers" minOccurs="0"/>
                <xsd:element ref="ns3:SharedWithDetails"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1c35433-24da-4795-a671-3a8333ab6e95" elementFormDefault="qualified">
    <xsd:import namespace="http://schemas.microsoft.com/office/2006/documentManagement/types"/>
    <xsd:import namespace="http://schemas.microsoft.com/office/infopath/2007/PartnerControls"/>
    <xsd:element name="TaxCatchAll" ma:index="8" nillable="true" ma:displayName="Taxonomy Catch All Column" ma:hidden="true" ma:list="{6e6f2444-b652-405d-b65c-1ae8fc1e48cb}" ma:internalName="TaxCatchAll" ma:readOnly="false" ma:showField="CatchAllData" ma:web="444dcbe6-2984-44c9-ad1d-c408aedeb99e">
      <xsd:complexType>
        <xsd:complexContent>
          <xsd:extension base="dms:MultiChoiceLookup">
            <xsd:sequence>
              <xsd:element name="Value" type="dms:Lookup" maxOccurs="unbounded" minOccurs="0" nillable="true"/>
            </xsd:sequence>
          </xsd:extension>
        </xsd:complexContent>
      </xsd:complexType>
    </xsd:element>
    <xsd:element name="TaxCatchAllLabel" ma:index="9" nillable="true" ma:displayName="Taxonomy Catch All Column1" ma:hidden="true" ma:list="{6e6f2444-b652-405d-b65c-1ae8fc1e48cb}" ma:internalName="TaxCatchAllLabel" ma:readOnly="true" ma:showField="CatchAllDataLabel" ma:web="444dcbe6-2984-44c9-ad1d-c408aedeb99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44dcbe6-2984-44c9-ad1d-c408aedeb99e" elementFormDefault="qualified">
    <xsd:import namespace="http://schemas.microsoft.com/office/2006/documentManagement/types"/>
    <xsd:import namespace="http://schemas.microsoft.com/office/infopath/2007/PartnerControls"/>
    <xsd:element name="b1f84035869e4da78e5c1c4395a2f4dd" ma:index="10" nillable="true" ma:displayName="LedcorProjectFilingIndex_0" ma:hidden="true" ma:internalName="b1f84035869e4da78e5c1c4395a2f4dd" ma:readOnly="false">
      <xsd:simpleType>
        <xsd:restriction base="dms:Note"/>
      </xsd:simpleType>
    </xsd:element>
    <xsd:element name="SharedWithUsers" ma:index="11"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ac40444-6559-41d6-ad07-41a29bef029e"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CAFF65F-511A-4707-A47A-B1E0ADF71FA7}">
  <ds:schemaRefs>
    <ds:schemaRef ds:uri="http://schemas.microsoft.com/office/2006/metadata/properties"/>
    <ds:schemaRef ds:uri="http://schemas.microsoft.com/office/infopath/2007/PartnerControls"/>
    <ds:schemaRef ds:uri="444dcbe6-2984-44c9-ad1d-c408aedeb99e"/>
    <ds:schemaRef ds:uri="b1c35433-24da-4795-a671-3a8333ab6e95"/>
  </ds:schemaRefs>
</ds:datastoreItem>
</file>

<file path=customXml/itemProps2.xml><?xml version="1.0" encoding="utf-8"?>
<ds:datastoreItem xmlns:ds="http://schemas.openxmlformats.org/officeDocument/2006/customXml" ds:itemID="{36EA272A-0AC9-4343-AE36-44444722A238}">
  <ds:schemaRefs>
    <ds:schemaRef ds:uri="http://schemas.microsoft.com/sharepoint/v3/contenttype/forms"/>
  </ds:schemaRefs>
</ds:datastoreItem>
</file>

<file path=customXml/itemProps3.xml><?xml version="1.0" encoding="utf-8"?>
<ds:datastoreItem xmlns:ds="http://schemas.openxmlformats.org/officeDocument/2006/customXml" ds:itemID="{7F4F34AC-C417-4422-BA67-EEC5A2DA79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1c35433-24da-4795-a671-3a8333ab6e95"/>
    <ds:schemaRef ds:uri="444dcbe6-2984-44c9-ad1d-c408aedeb99e"/>
    <ds:schemaRef ds:uri="bac40444-6559-41d6-ad07-41a29bef02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Material Order Form</vt:lpstr>
      <vt:lpstr>Previous Rev</vt:lpstr>
      <vt:lpstr>Revision History</vt:lpstr>
      <vt:lpstr>Info</vt:lpstr>
      <vt:lpstr>Transfer Values</vt:lpstr>
      <vt:lpstr>Obsolete Items</vt:lpstr>
      <vt:lpstr>Minor Materials</vt:lpstr>
      <vt:lpstr>Minor Major Relationships</vt:lpstr>
      <vt:lpstr>New Import Data</vt:lpstr>
      <vt:lpstr>Options</vt:lpstr>
      <vt:lpstr>Build_Type</vt:lpstr>
      <vt:lpstr>Revision</vt:lpstr>
      <vt:lpstr>Revision_Date</vt:lpstr>
      <vt:lpstr>RevisionHeader</vt:lpstr>
    </vt:vector>
  </TitlesOfParts>
  <Company>TELUS Communications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TELUS</dc:creator>
  <cp:lastModifiedBy>Kyle Pickthall</cp:lastModifiedBy>
  <dcterms:created xsi:type="dcterms:W3CDTF">2013-07-22T20:24:17Z</dcterms:created>
  <dcterms:modified xsi:type="dcterms:W3CDTF">2021-04-13T02:42:38Z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0x010100448D6A67BD47C84381C04A1FAAB45D6E0100047EDD40E72E7640B15FEB79EA0BF169</vt:lpwstr>
  </property>
</Properties>
</file>